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G:\Myfiles\Courses\course-devpmt\3_spreadsheets\3_After_Spring2018_64b-Excel\Reciprocity-symmetry_w-SPICE\"/>
    </mc:Choice>
  </mc:AlternateContent>
  <xr:revisionPtr revIDLastSave="0" documentId="13_ncr:1_{1C1FCA7C-8CBB-4B52-A670-97390418FC24}" xr6:coauthVersionLast="45" xr6:coauthVersionMax="45" xr10:uidLastSave="{00000000-0000-0000-0000-000000000000}"/>
  <bookViews>
    <workbookView showHorizontalScroll="0" showVerticalScroll="0" xWindow="-110" yWindow="-110" windowWidth="19420" windowHeight="10420" xr2:uid="{00000000-000D-0000-FFFF-FFFF00000000}"/>
  </bookViews>
  <sheets>
    <sheet name="Input-data" sheetId="1" r:id="rId1"/>
    <sheet name="Info" sheetId="4" r:id="rId2"/>
    <sheet name="Copyright" sheetId="5" r:id="rId3"/>
  </sheets>
  <definedNames>
    <definedName name="C_left">'Input-data'!$O$7</definedName>
    <definedName name="C_right">'Input-data'!$P$7</definedName>
    <definedName name="F_max">'Input-data'!$P$15</definedName>
    <definedName name="F_min">'Input-data'!$O$15</definedName>
    <definedName name="F_steps">'Input-data'!$O$13</definedName>
    <definedName name="Freq_anchor">'Input-data'!$B$60</definedName>
    <definedName name="Input_range">'Input-data'!$O$3,'Input-data'!$P$3,'Input-data'!$O$5,'Input-data'!$P$5,'Input-data'!$O$7,'Input-data'!$P$7,'Input-data'!$O$9,'Input-data'!$P$9,'Input-data'!$O$11,'Input-data'!$P$11,'Input-data'!$O$13,'Input-data'!$P$13,'Input-data'!$O$15,'Input-data'!$P$15</definedName>
    <definedName name="L_left">'Input-data'!$O$11</definedName>
    <definedName name="L_right">'Input-data'!$P$11</definedName>
    <definedName name="R_left">'Input-data'!$O$9</definedName>
    <definedName name="R_load">'Input-data'!$P$3</definedName>
    <definedName name="R_right">'Input-data'!$P$9</definedName>
    <definedName name="R_src">'Input-data'!$O$3</definedName>
    <definedName name="t_pd1">'Input-data'!$P$5</definedName>
    <definedName name="Z_o1">'Input-data'!$O$5</definedName>
    <definedName name="Z_ref">'Input-data'!$P$13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61" i="1" l="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Q57" i="1" l="1"/>
  <c r="M57" i="1"/>
  <c r="W60" i="1"/>
  <c r="X60" i="1"/>
  <c r="S60" i="1"/>
  <c r="T60" i="1"/>
  <c r="U60" i="1" l="1"/>
  <c r="Z60" i="1"/>
  <c r="V60" i="1"/>
  <c r="Y60" i="1"/>
</calcChain>
</file>

<file path=xl/sharedStrings.xml><?xml version="1.0" encoding="utf-8"?>
<sst xmlns="http://schemas.openxmlformats.org/spreadsheetml/2006/main" count="69" uniqueCount="62">
  <si>
    <t xml:space="preserve">                                                                    For updates and with comments please contact:</t>
  </si>
  <si>
    <t>Application information and hints:</t>
  </si>
  <si>
    <t xml:space="preserve">1., Enter your data in the top grey highlighted area of                                                                                                               </t>
  </si>
  <si>
    <t xml:space="preserve"> </t>
  </si>
  <si>
    <r>
      <t xml:space="preserve">worksheet.  Select any of the </t>
    </r>
    <r>
      <rPr>
        <b/>
        <sz val="10"/>
        <color indexed="10"/>
        <rFont val="Arial"/>
        <family val="2"/>
      </rPr>
      <t>red</t>
    </r>
    <r>
      <rPr>
        <sz val="10"/>
        <rFont val="Arial"/>
      </rPr>
      <t xml:space="preserve"> parameters and                                                           </t>
    </r>
  </si>
  <si>
    <t>Fmin</t>
  </si>
  <si>
    <t>Fmax</t>
  </si>
  <si>
    <t>Fsteps</t>
  </si>
  <si>
    <t>Frequency</t>
  </si>
  <si>
    <t>Rload</t>
  </si>
  <si>
    <t>Rsrc</t>
  </si>
  <si>
    <t>Zo</t>
  </si>
  <si>
    <t>tpd</t>
  </si>
  <si>
    <t>VdB(1)</t>
  </si>
  <si>
    <t>VP(1)</t>
  </si>
  <si>
    <t>N1</t>
  </si>
  <si>
    <r>
      <t>enter your data</t>
    </r>
    <r>
      <rPr>
        <sz val="10"/>
        <rFont val="Arial"/>
      </rPr>
      <t xml:space="preserve"> in the units shown.  Be careful with N and F_steps:  large numbers may result in long computation time.  </t>
    </r>
  </si>
  <si>
    <t xml:space="preserve">2., There is minimal error checking of your entered input data. Physically invalid input (e.g., negative resistance) may result in meaningless output. </t>
  </si>
  <si>
    <t>3.,  This spreadsheet uses macros to create SPICE input files. Berkeley SPICE 2.6 is called and the output file is parsed and result posted on the spredsheet for plotting. The SPICE.exe file needs to be in the directory where the spreadsheet file is.</t>
  </si>
  <si>
    <t>4.,  If Automatic Recalculation is selected in the Tools/Options menu, numerical and graphical outputs are automatically updated after each new entry.</t>
  </si>
  <si>
    <t>5.,  On slower computers, deselect Automatic Recalculation, and use Calc. Now (F9).</t>
  </si>
  <si>
    <t xml:space="preserve">6.,  This file uses dot (.) as separator between the integer and fractional parts of numbers.   Preferences in your Microsoft Excel installation must be set accordingly. </t>
  </si>
  <si>
    <t>7.,  The calculation part of the worksheets can be viewed and changed if necessary below the input/output areas.  To navigate among cells, you can switch back on the Row and Column Headers and Scroll bars in the Tools/Options menu.</t>
  </si>
  <si>
    <t>This toolset is copyright, Istvan Novak. All rights reserved. You are hereby granted a limited right to run, copy, and reproduce the toolset for your personal, non-commercial purposes only. By using the file(s), you acknowledge not to run, show or disseminate in any way the toolset in full or in part at public or commercial presentations without the express written consent of the author.</t>
  </si>
  <si>
    <t>C_left</t>
  </si>
  <si>
    <t>L_left</t>
  </si>
  <si>
    <t>R_left</t>
  </si>
  <si>
    <t>C_right</t>
  </si>
  <si>
    <t>R_right</t>
  </si>
  <si>
    <t>L_right</t>
  </si>
  <si>
    <t>N2</t>
  </si>
  <si>
    <t>VdB(2)</t>
  </si>
  <si>
    <t>VP(2)</t>
  </si>
  <si>
    <t>Illustration of reciprocity and symmetry</t>
  </si>
  <si>
    <t>Zref</t>
  </si>
  <si>
    <t>N3</t>
  </si>
  <si>
    <t>VdB(3)</t>
  </si>
  <si>
    <t>N4</t>
  </si>
  <si>
    <t>VdB(4)</t>
  </si>
  <si>
    <t>VP(4)</t>
  </si>
  <si>
    <t>N5</t>
  </si>
  <si>
    <t>VdB(5)</t>
  </si>
  <si>
    <t>VP(5)</t>
  </si>
  <si>
    <t>N6</t>
  </si>
  <si>
    <t>VdB(6)</t>
  </si>
  <si>
    <t>VP(6)</t>
  </si>
  <si>
    <t>N7</t>
  </si>
  <si>
    <t>VdB(7)</t>
  </si>
  <si>
    <t>VP(7)</t>
  </si>
  <si>
    <t>N8</t>
  </si>
  <si>
    <t>VdB(8)</t>
  </si>
  <si>
    <t>VP(8)</t>
  </si>
  <si>
    <t>Re_V(5)</t>
  </si>
  <si>
    <t>Im_V(5)</t>
  </si>
  <si>
    <t>Ph_S11</t>
  </si>
  <si>
    <t>Re_V(7)</t>
  </si>
  <si>
    <t>Im_V(7)</t>
  </si>
  <si>
    <t>Ph_S22</t>
  </si>
  <si>
    <t>Forward</t>
  </si>
  <si>
    <t>Reverse</t>
  </si>
  <si>
    <t>S11</t>
  </si>
  <si>
    <t>S22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</si>
</sst>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E+00"/>
  </numFmts>
  <fonts count="7" x14ac:knownFonts="1">
    <font>
      <sz val="10"/>
      <name val="Arial"/>
    </font>
    <font>
      <b/>
      <sz val="10"/>
      <color indexed="12"/>
      <name val="Arial"/>
      <family val="2"/>
    </font>
    <font>
      <b/>
      <sz val="10"/>
      <color indexed="10"/>
      <name val="Arial"/>
      <family val="2"/>
    </font>
    <font>
      <sz val="10"/>
      <color indexed="8"/>
      <name val="Arial"/>
      <family val="2"/>
    </font>
    <font>
      <sz val="10"/>
      <color indexed="10"/>
      <name val="Arial"/>
    </font>
    <font>
      <sz val="10"/>
      <color indexed="10"/>
      <name val="Arial"/>
      <family val="2"/>
    </font>
    <font>
      <b/>
      <sz val="12"/>
      <color indexed="12"/>
      <name val="Arial"/>
      <family val="2"/>
    </font>
  </fonts>
  <fills count="3">
    <fill>
      <patternFill patternType="none"/>
    </fill>
    <fill>
      <patternFill patternType="gray125"/>
    </fill>
    <fill>
      <patternFill patternType="solid">
        <fgColor indexed="22"/>
        <bgColor indexed="64"/>
      </patternFill>
    </fill>
  </fills>
  <borders count="6">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1">
    <xf numFmtId="0" fontId="0" fillId="0" borderId="0"/>
  </cellStyleXfs>
  <cellXfs count="21">
    <xf numFmtId="0" fontId="0" fillId="0" borderId="0" xfId="0"/>
    <xf numFmtId="0" fontId="0" fillId="2" borderId="0" xfId="0" applyFill="1"/>
    <xf numFmtId="0" fontId="1" fillId="0" borderId="0" xfId="0" applyFont="1" applyAlignment="1">
      <alignment vertical="center"/>
    </xf>
    <xf numFmtId="0" fontId="0" fillId="0" borderId="0" xfId="0" applyAlignment="1">
      <alignment wrapText="1"/>
    </xf>
    <xf numFmtId="0" fontId="2" fillId="0" borderId="0" xfId="0" applyFont="1" applyAlignment="1">
      <alignment wrapText="1"/>
    </xf>
    <xf numFmtId="0" fontId="3" fillId="0" borderId="0" xfId="0" applyFont="1" applyAlignment="1">
      <alignment wrapText="1"/>
    </xf>
    <xf numFmtId="11" fontId="0" fillId="0" borderId="0" xfId="0" applyNumberFormat="1"/>
    <xf numFmtId="0" fontId="0" fillId="0" borderId="1" xfId="0" applyBorder="1" applyAlignment="1">
      <alignment horizontal="center"/>
    </xf>
    <xf numFmtId="0" fontId="0" fillId="0" borderId="2" xfId="0" applyBorder="1" applyAlignment="1">
      <alignment horizontal="center"/>
    </xf>
    <xf numFmtId="0" fontId="4" fillId="0" borderId="3" xfId="0" applyNumberFormat="1" applyFont="1" applyBorder="1" applyAlignment="1">
      <alignment horizontal="center"/>
    </xf>
    <xf numFmtId="11" fontId="4" fillId="0" borderId="3" xfId="0" applyNumberFormat="1" applyFont="1" applyBorder="1" applyAlignment="1">
      <alignment horizontal="center"/>
    </xf>
    <xf numFmtId="0" fontId="0" fillId="0" borderId="4" xfId="0" applyBorder="1" applyAlignment="1">
      <alignment horizontal="center"/>
    </xf>
    <xf numFmtId="0" fontId="6" fillId="0" borderId="0" xfId="0" applyFont="1"/>
    <xf numFmtId="0" fontId="4" fillId="0" borderId="5" xfId="0" applyNumberFormat="1" applyFont="1" applyBorder="1" applyAlignment="1">
      <alignment horizontal="center"/>
    </xf>
    <xf numFmtId="11" fontId="4" fillId="0" borderId="5" xfId="0" applyNumberFormat="1" applyFont="1" applyBorder="1" applyAlignment="1">
      <alignment horizontal="center"/>
    </xf>
    <xf numFmtId="11" fontId="5" fillId="0" borderId="3" xfId="0" applyNumberFormat="1" applyFont="1" applyBorder="1" applyAlignment="1">
      <alignment horizontal="center"/>
    </xf>
    <xf numFmtId="0" fontId="4" fillId="0" borderId="3" xfId="0" applyFont="1" applyBorder="1" applyAlignment="1">
      <alignment horizontal="center"/>
    </xf>
    <xf numFmtId="0" fontId="0" fillId="0" borderId="0" xfId="0" applyFill="1"/>
    <xf numFmtId="0" fontId="0" fillId="0" borderId="0" xfId="0" applyNumberFormat="1" applyAlignment="1">
      <alignment wrapText="1"/>
    </xf>
    <xf numFmtId="164" fontId="4" fillId="0" borderId="3" xfId="0" applyNumberFormat="1" applyFont="1" applyBorder="1" applyAlignment="1">
      <alignment horizontal="center"/>
    </xf>
    <xf numFmtId="16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Source-load voltage transfer functions [dB]</a:t>
            </a:r>
          </a:p>
        </c:rich>
      </c:tx>
      <c:layout>
        <c:manualLayout>
          <c:xMode val="edge"/>
          <c:yMode val="edge"/>
          <c:x val="0.12630598305657845"/>
          <c:y val="1.6760291829761235E-2"/>
        </c:manualLayout>
      </c:layout>
      <c:overlay val="0"/>
      <c:spPr>
        <a:solidFill>
          <a:srgbClr val="FFFFFF"/>
        </a:solidFill>
        <a:ln w="25400">
          <a:noFill/>
        </a:ln>
      </c:spPr>
    </c:title>
    <c:autoTitleDeleted val="0"/>
    <c:plotArea>
      <c:layout>
        <c:manualLayout>
          <c:layoutTarget val="inner"/>
          <c:xMode val="edge"/>
          <c:yMode val="edge"/>
          <c:x val="7.1616794516616636E-2"/>
          <c:y val="0.13408233463808988"/>
          <c:w val="0.86721427541939422"/>
          <c:h val="0.71883029403198195"/>
        </c:manualLayout>
      </c:layout>
      <c:scatterChart>
        <c:scatterStyle val="lineMarker"/>
        <c:varyColors val="0"/>
        <c:ser>
          <c:idx val="1"/>
          <c:order val="0"/>
          <c:tx>
            <c:strRef>
              <c:f>'Input-data'!$I$58</c:f>
              <c:strCache>
                <c:ptCount val="1"/>
                <c:pt idx="0">
                  <c:v>Reverse</c:v>
                </c:pt>
              </c:strCache>
            </c:strRef>
          </c:tx>
          <c:spPr>
            <a:ln w="25400">
              <a:solidFill>
                <a:srgbClr val="008000"/>
              </a:solidFill>
              <a:prstDash val="solid"/>
            </a:ln>
          </c:spPr>
          <c:marker>
            <c:symbol val="none"/>
          </c:marker>
          <c:xVal>
            <c:numRef>
              <c:f>'Input-data'!$B$60:$B$260</c:f>
              <c:numCache>
                <c:formatCode>0.00E+00</c:formatCode>
                <c:ptCount val="201"/>
                <c:pt idx="0">
                  <c:v>100000000</c:v>
                </c:pt>
                <c:pt idx="1">
                  <c:v>102300000</c:v>
                </c:pt>
                <c:pt idx="2">
                  <c:v>104700000</c:v>
                </c:pt>
                <c:pt idx="3">
                  <c:v>107200000</c:v>
                </c:pt>
                <c:pt idx="4">
                  <c:v>109600000</c:v>
                </c:pt>
                <c:pt idx="5">
                  <c:v>112200000</c:v>
                </c:pt>
                <c:pt idx="6">
                  <c:v>114800000</c:v>
                </c:pt>
                <c:pt idx="7">
                  <c:v>117500000</c:v>
                </c:pt>
                <c:pt idx="8">
                  <c:v>120200000</c:v>
                </c:pt>
                <c:pt idx="9">
                  <c:v>123000000</c:v>
                </c:pt>
                <c:pt idx="10">
                  <c:v>125900000</c:v>
                </c:pt>
                <c:pt idx="11">
                  <c:v>128800000</c:v>
                </c:pt>
                <c:pt idx="12">
                  <c:v>131800000</c:v>
                </c:pt>
                <c:pt idx="13">
                  <c:v>134900000</c:v>
                </c:pt>
                <c:pt idx="14">
                  <c:v>138000000</c:v>
                </c:pt>
                <c:pt idx="15">
                  <c:v>141300000</c:v>
                </c:pt>
                <c:pt idx="16">
                  <c:v>144500000</c:v>
                </c:pt>
                <c:pt idx="17">
                  <c:v>147900000</c:v>
                </c:pt>
                <c:pt idx="18">
                  <c:v>151400000</c:v>
                </c:pt>
                <c:pt idx="19">
                  <c:v>154900000</c:v>
                </c:pt>
                <c:pt idx="20">
                  <c:v>158500000</c:v>
                </c:pt>
                <c:pt idx="21">
                  <c:v>162200000</c:v>
                </c:pt>
                <c:pt idx="22">
                  <c:v>166000000</c:v>
                </c:pt>
                <c:pt idx="23">
                  <c:v>169800000</c:v>
                </c:pt>
                <c:pt idx="24">
                  <c:v>173800000</c:v>
                </c:pt>
                <c:pt idx="25">
                  <c:v>177800000</c:v>
                </c:pt>
                <c:pt idx="26">
                  <c:v>182000000</c:v>
                </c:pt>
                <c:pt idx="27">
                  <c:v>186200000</c:v>
                </c:pt>
                <c:pt idx="28">
                  <c:v>190500000</c:v>
                </c:pt>
                <c:pt idx="29">
                  <c:v>195000000</c:v>
                </c:pt>
                <c:pt idx="30">
                  <c:v>199500000</c:v>
                </c:pt>
                <c:pt idx="31">
                  <c:v>204200000</c:v>
                </c:pt>
                <c:pt idx="32">
                  <c:v>208900000</c:v>
                </c:pt>
                <c:pt idx="33">
                  <c:v>213800000</c:v>
                </c:pt>
                <c:pt idx="34">
                  <c:v>218800000</c:v>
                </c:pt>
                <c:pt idx="35">
                  <c:v>223900000</c:v>
                </c:pt>
                <c:pt idx="36">
                  <c:v>229100000</c:v>
                </c:pt>
                <c:pt idx="37">
                  <c:v>234400000</c:v>
                </c:pt>
                <c:pt idx="38">
                  <c:v>239900000</c:v>
                </c:pt>
                <c:pt idx="39">
                  <c:v>245500000</c:v>
                </c:pt>
                <c:pt idx="40">
                  <c:v>251200000</c:v>
                </c:pt>
                <c:pt idx="41">
                  <c:v>257000000</c:v>
                </c:pt>
                <c:pt idx="42">
                  <c:v>263000000</c:v>
                </c:pt>
                <c:pt idx="43">
                  <c:v>269200000</c:v>
                </c:pt>
                <c:pt idx="44">
                  <c:v>275400000</c:v>
                </c:pt>
                <c:pt idx="45">
                  <c:v>281800000</c:v>
                </c:pt>
                <c:pt idx="46">
                  <c:v>288400000</c:v>
                </c:pt>
                <c:pt idx="47">
                  <c:v>295100000</c:v>
                </c:pt>
                <c:pt idx="48">
                  <c:v>302000000</c:v>
                </c:pt>
                <c:pt idx="49">
                  <c:v>309000000</c:v>
                </c:pt>
                <c:pt idx="50">
                  <c:v>316200000</c:v>
                </c:pt>
                <c:pt idx="51">
                  <c:v>323600000</c:v>
                </c:pt>
                <c:pt idx="52">
                  <c:v>331100000</c:v>
                </c:pt>
                <c:pt idx="53">
                  <c:v>338800000</c:v>
                </c:pt>
                <c:pt idx="54">
                  <c:v>346700000</c:v>
                </c:pt>
                <c:pt idx="55">
                  <c:v>354800000</c:v>
                </c:pt>
                <c:pt idx="56">
                  <c:v>363100000</c:v>
                </c:pt>
                <c:pt idx="57">
                  <c:v>371500000</c:v>
                </c:pt>
                <c:pt idx="58">
                  <c:v>380200000</c:v>
                </c:pt>
                <c:pt idx="59">
                  <c:v>389000000</c:v>
                </c:pt>
                <c:pt idx="60">
                  <c:v>398100000</c:v>
                </c:pt>
                <c:pt idx="61">
                  <c:v>407400000</c:v>
                </c:pt>
                <c:pt idx="62">
                  <c:v>416900000</c:v>
                </c:pt>
                <c:pt idx="63">
                  <c:v>426600000</c:v>
                </c:pt>
                <c:pt idx="64">
                  <c:v>436500000</c:v>
                </c:pt>
                <c:pt idx="65">
                  <c:v>446700000</c:v>
                </c:pt>
                <c:pt idx="66">
                  <c:v>457100000</c:v>
                </c:pt>
                <c:pt idx="67">
                  <c:v>467700000</c:v>
                </c:pt>
                <c:pt idx="68">
                  <c:v>478600000</c:v>
                </c:pt>
                <c:pt idx="69">
                  <c:v>489800000</c:v>
                </c:pt>
                <c:pt idx="70">
                  <c:v>501200000</c:v>
                </c:pt>
                <c:pt idx="71">
                  <c:v>512900000</c:v>
                </c:pt>
                <c:pt idx="72">
                  <c:v>524800000</c:v>
                </c:pt>
                <c:pt idx="73">
                  <c:v>537000000</c:v>
                </c:pt>
                <c:pt idx="74">
                  <c:v>549500000</c:v>
                </c:pt>
                <c:pt idx="75">
                  <c:v>562300000</c:v>
                </c:pt>
                <c:pt idx="76">
                  <c:v>575400000</c:v>
                </c:pt>
                <c:pt idx="77">
                  <c:v>588800000</c:v>
                </c:pt>
                <c:pt idx="78">
                  <c:v>602600000</c:v>
                </c:pt>
                <c:pt idx="79">
                  <c:v>616600000</c:v>
                </c:pt>
                <c:pt idx="80">
                  <c:v>631000000</c:v>
                </c:pt>
                <c:pt idx="81">
                  <c:v>645700000</c:v>
                </c:pt>
                <c:pt idx="82">
                  <c:v>660700000</c:v>
                </c:pt>
                <c:pt idx="83">
                  <c:v>676100000</c:v>
                </c:pt>
                <c:pt idx="84">
                  <c:v>691800000</c:v>
                </c:pt>
                <c:pt idx="85">
                  <c:v>707900000</c:v>
                </c:pt>
                <c:pt idx="86">
                  <c:v>724400000</c:v>
                </c:pt>
                <c:pt idx="87">
                  <c:v>741300000</c:v>
                </c:pt>
                <c:pt idx="88">
                  <c:v>758600000</c:v>
                </c:pt>
                <c:pt idx="89">
                  <c:v>776200000</c:v>
                </c:pt>
                <c:pt idx="90">
                  <c:v>794300000</c:v>
                </c:pt>
                <c:pt idx="91">
                  <c:v>812800000</c:v>
                </c:pt>
                <c:pt idx="92">
                  <c:v>831800000</c:v>
                </c:pt>
                <c:pt idx="93">
                  <c:v>851100000</c:v>
                </c:pt>
                <c:pt idx="94">
                  <c:v>871000000</c:v>
                </c:pt>
                <c:pt idx="95">
                  <c:v>891300000</c:v>
                </c:pt>
                <c:pt idx="96">
                  <c:v>912000000</c:v>
                </c:pt>
                <c:pt idx="97">
                  <c:v>933300000</c:v>
                </c:pt>
                <c:pt idx="98">
                  <c:v>955000000</c:v>
                </c:pt>
                <c:pt idx="99">
                  <c:v>977200000</c:v>
                </c:pt>
                <c:pt idx="100">
                  <c:v>1000000000</c:v>
                </c:pt>
                <c:pt idx="101">
                  <c:v>1023000000</c:v>
                </c:pt>
                <c:pt idx="102">
                  <c:v>1047000000</c:v>
                </c:pt>
                <c:pt idx="103">
                  <c:v>1072000000</c:v>
                </c:pt>
                <c:pt idx="104">
                  <c:v>1096000000</c:v>
                </c:pt>
                <c:pt idx="105">
                  <c:v>1122000000</c:v>
                </c:pt>
                <c:pt idx="106">
                  <c:v>1148000000</c:v>
                </c:pt>
                <c:pt idx="107">
                  <c:v>1175000000</c:v>
                </c:pt>
                <c:pt idx="108">
                  <c:v>1202000000</c:v>
                </c:pt>
                <c:pt idx="109">
                  <c:v>1230000000</c:v>
                </c:pt>
                <c:pt idx="110">
                  <c:v>1259000000</c:v>
                </c:pt>
                <c:pt idx="111">
                  <c:v>1288000000</c:v>
                </c:pt>
                <c:pt idx="112">
                  <c:v>1318000000</c:v>
                </c:pt>
                <c:pt idx="113">
                  <c:v>1349000000</c:v>
                </c:pt>
                <c:pt idx="114">
                  <c:v>1380000000</c:v>
                </c:pt>
                <c:pt idx="115">
                  <c:v>1413000000</c:v>
                </c:pt>
                <c:pt idx="116">
                  <c:v>1445000000</c:v>
                </c:pt>
                <c:pt idx="117">
                  <c:v>1479000000</c:v>
                </c:pt>
                <c:pt idx="118">
                  <c:v>1514000000</c:v>
                </c:pt>
                <c:pt idx="119">
                  <c:v>1549000000</c:v>
                </c:pt>
                <c:pt idx="120">
                  <c:v>1585000000</c:v>
                </c:pt>
                <c:pt idx="121">
                  <c:v>1622000000</c:v>
                </c:pt>
                <c:pt idx="122">
                  <c:v>1660000000</c:v>
                </c:pt>
                <c:pt idx="123">
                  <c:v>1698000000</c:v>
                </c:pt>
                <c:pt idx="124">
                  <c:v>1738000000</c:v>
                </c:pt>
                <c:pt idx="125">
                  <c:v>1778000000</c:v>
                </c:pt>
                <c:pt idx="126">
                  <c:v>1820000000</c:v>
                </c:pt>
                <c:pt idx="127">
                  <c:v>1862000000</c:v>
                </c:pt>
                <c:pt idx="128">
                  <c:v>1905000000</c:v>
                </c:pt>
                <c:pt idx="129">
                  <c:v>1950000000</c:v>
                </c:pt>
                <c:pt idx="130">
                  <c:v>1995000000</c:v>
                </c:pt>
                <c:pt idx="131">
                  <c:v>2042000000</c:v>
                </c:pt>
                <c:pt idx="132">
                  <c:v>2089000000</c:v>
                </c:pt>
                <c:pt idx="133">
                  <c:v>2138000000</c:v>
                </c:pt>
                <c:pt idx="134">
                  <c:v>2188000000</c:v>
                </c:pt>
                <c:pt idx="135">
                  <c:v>2239000000</c:v>
                </c:pt>
                <c:pt idx="136">
                  <c:v>2291000000</c:v>
                </c:pt>
                <c:pt idx="137">
                  <c:v>2344000000</c:v>
                </c:pt>
                <c:pt idx="138">
                  <c:v>2399000000</c:v>
                </c:pt>
                <c:pt idx="139">
                  <c:v>2455000000</c:v>
                </c:pt>
                <c:pt idx="140">
                  <c:v>2512000000</c:v>
                </c:pt>
                <c:pt idx="141">
                  <c:v>2570000000</c:v>
                </c:pt>
                <c:pt idx="142">
                  <c:v>2630000000</c:v>
                </c:pt>
                <c:pt idx="143">
                  <c:v>2692000000</c:v>
                </c:pt>
                <c:pt idx="144">
                  <c:v>2754000000</c:v>
                </c:pt>
                <c:pt idx="145">
                  <c:v>2818000000</c:v>
                </c:pt>
                <c:pt idx="146">
                  <c:v>2884000000</c:v>
                </c:pt>
                <c:pt idx="147">
                  <c:v>2951000000</c:v>
                </c:pt>
                <c:pt idx="148">
                  <c:v>3020000000</c:v>
                </c:pt>
                <c:pt idx="149">
                  <c:v>3090000000</c:v>
                </c:pt>
                <c:pt idx="150">
                  <c:v>3162000000</c:v>
                </c:pt>
                <c:pt idx="151">
                  <c:v>3236000000</c:v>
                </c:pt>
                <c:pt idx="152">
                  <c:v>3311000000</c:v>
                </c:pt>
                <c:pt idx="153">
                  <c:v>3388000000</c:v>
                </c:pt>
                <c:pt idx="154">
                  <c:v>3467000000</c:v>
                </c:pt>
                <c:pt idx="155">
                  <c:v>3548000000</c:v>
                </c:pt>
                <c:pt idx="156">
                  <c:v>3631000000</c:v>
                </c:pt>
                <c:pt idx="157">
                  <c:v>3715000000</c:v>
                </c:pt>
                <c:pt idx="158">
                  <c:v>3802000000</c:v>
                </c:pt>
                <c:pt idx="159">
                  <c:v>3890000000</c:v>
                </c:pt>
                <c:pt idx="160">
                  <c:v>3981000000</c:v>
                </c:pt>
                <c:pt idx="161">
                  <c:v>4074000000</c:v>
                </c:pt>
                <c:pt idx="162">
                  <c:v>4169000000</c:v>
                </c:pt>
                <c:pt idx="163">
                  <c:v>4266000000</c:v>
                </c:pt>
                <c:pt idx="164">
                  <c:v>4365000000</c:v>
                </c:pt>
                <c:pt idx="165">
                  <c:v>4467000000</c:v>
                </c:pt>
                <c:pt idx="166">
                  <c:v>4571000000</c:v>
                </c:pt>
                <c:pt idx="167">
                  <c:v>4677000000</c:v>
                </c:pt>
                <c:pt idx="168">
                  <c:v>4786000000</c:v>
                </c:pt>
                <c:pt idx="169">
                  <c:v>4898000000</c:v>
                </c:pt>
                <c:pt idx="170">
                  <c:v>5012000000</c:v>
                </c:pt>
                <c:pt idx="171">
                  <c:v>5129000000</c:v>
                </c:pt>
                <c:pt idx="172">
                  <c:v>5248000000</c:v>
                </c:pt>
                <c:pt idx="173">
                  <c:v>5370000000</c:v>
                </c:pt>
                <c:pt idx="174">
                  <c:v>5495000000</c:v>
                </c:pt>
                <c:pt idx="175">
                  <c:v>5623000000</c:v>
                </c:pt>
                <c:pt idx="176">
                  <c:v>5754000000</c:v>
                </c:pt>
                <c:pt idx="177">
                  <c:v>5888000000</c:v>
                </c:pt>
                <c:pt idx="178">
                  <c:v>6026000000</c:v>
                </c:pt>
                <c:pt idx="179">
                  <c:v>6166000000</c:v>
                </c:pt>
                <c:pt idx="180">
                  <c:v>6310000000</c:v>
                </c:pt>
                <c:pt idx="181">
                  <c:v>6457000000</c:v>
                </c:pt>
                <c:pt idx="182">
                  <c:v>6607000000</c:v>
                </c:pt>
                <c:pt idx="183">
                  <c:v>6761000000</c:v>
                </c:pt>
                <c:pt idx="184">
                  <c:v>6918000000</c:v>
                </c:pt>
                <c:pt idx="185">
                  <c:v>7079000000</c:v>
                </c:pt>
                <c:pt idx="186">
                  <c:v>7244000000</c:v>
                </c:pt>
                <c:pt idx="187">
                  <c:v>7413000000</c:v>
                </c:pt>
                <c:pt idx="188">
                  <c:v>7586000000</c:v>
                </c:pt>
                <c:pt idx="189">
                  <c:v>7762000000</c:v>
                </c:pt>
                <c:pt idx="190">
                  <c:v>7943000000</c:v>
                </c:pt>
                <c:pt idx="191">
                  <c:v>8128000000</c:v>
                </c:pt>
                <c:pt idx="192">
                  <c:v>8318000000</c:v>
                </c:pt>
                <c:pt idx="193">
                  <c:v>8511000000</c:v>
                </c:pt>
                <c:pt idx="194">
                  <c:v>8710000000</c:v>
                </c:pt>
                <c:pt idx="195">
                  <c:v>8913000000</c:v>
                </c:pt>
                <c:pt idx="196">
                  <c:v>9120000000</c:v>
                </c:pt>
                <c:pt idx="197">
                  <c:v>9333000000</c:v>
                </c:pt>
                <c:pt idx="198">
                  <c:v>9550000000</c:v>
                </c:pt>
                <c:pt idx="199">
                  <c:v>9772000000</c:v>
                </c:pt>
                <c:pt idx="200">
                  <c:v>10000000000</c:v>
                </c:pt>
              </c:numCache>
            </c:numRef>
          </c:xVal>
          <c:yVal>
            <c:numRef>
              <c:f>'Input-data'!$E$60:$E$260</c:f>
              <c:numCache>
                <c:formatCode>0.0E+00</c:formatCode>
                <c:ptCount val="201"/>
                <c:pt idx="0">
                  <c:v>4.4640000000000004</c:v>
                </c:pt>
                <c:pt idx="1">
                  <c:v>4.4649999999999999</c:v>
                </c:pt>
                <c:pt idx="2">
                  <c:v>4.4660000000000002</c:v>
                </c:pt>
                <c:pt idx="3">
                  <c:v>4.468</c:v>
                </c:pt>
                <c:pt idx="4">
                  <c:v>4.4690000000000003</c:v>
                </c:pt>
                <c:pt idx="5">
                  <c:v>4.4710000000000001</c:v>
                </c:pt>
                <c:pt idx="6">
                  <c:v>4.4720000000000004</c:v>
                </c:pt>
                <c:pt idx="7">
                  <c:v>4.4740000000000002</c:v>
                </c:pt>
                <c:pt idx="8">
                  <c:v>4.4749999999999996</c:v>
                </c:pt>
                <c:pt idx="9">
                  <c:v>4.4770000000000003</c:v>
                </c:pt>
                <c:pt idx="10">
                  <c:v>4.4790000000000001</c:v>
                </c:pt>
                <c:pt idx="11">
                  <c:v>4.4809999999999999</c:v>
                </c:pt>
                <c:pt idx="12">
                  <c:v>4.4829999999999997</c:v>
                </c:pt>
                <c:pt idx="13">
                  <c:v>4.4850000000000003</c:v>
                </c:pt>
                <c:pt idx="14">
                  <c:v>4.4880000000000004</c:v>
                </c:pt>
                <c:pt idx="15">
                  <c:v>4.49</c:v>
                </c:pt>
                <c:pt idx="16">
                  <c:v>4.4930000000000003</c:v>
                </c:pt>
                <c:pt idx="17">
                  <c:v>4.4950000000000001</c:v>
                </c:pt>
                <c:pt idx="18">
                  <c:v>4.4980000000000002</c:v>
                </c:pt>
                <c:pt idx="19">
                  <c:v>4.5010000000000003</c:v>
                </c:pt>
                <c:pt idx="20">
                  <c:v>4.5039999999999996</c:v>
                </c:pt>
                <c:pt idx="21">
                  <c:v>4.5069999999999997</c:v>
                </c:pt>
                <c:pt idx="22">
                  <c:v>4.51</c:v>
                </c:pt>
                <c:pt idx="23">
                  <c:v>4.5140000000000002</c:v>
                </c:pt>
                <c:pt idx="24">
                  <c:v>4.5170000000000003</c:v>
                </c:pt>
                <c:pt idx="25">
                  <c:v>4.5209999999999999</c:v>
                </c:pt>
                <c:pt idx="26">
                  <c:v>4.5250000000000004</c:v>
                </c:pt>
                <c:pt idx="27">
                  <c:v>4.5289999999999999</c:v>
                </c:pt>
                <c:pt idx="28">
                  <c:v>4.5330000000000004</c:v>
                </c:pt>
                <c:pt idx="29">
                  <c:v>4.5380000000000003</c:v>
                </c:pt>
                <c:pt idx="30">
                  <c:v>4.5430000000000001</c:v>
                </c:pt>
                <c:pt idx="31">
                  <c:v>4.548</c:v>
                </c:pt>
                <c:pt idx="32">
                  <c:v>4.5529999999999999</c:v>
                </c:pt>
                <c:pt idx="33">
                  <c:v>4.5579999999999998</c:v>
                </c:pt>
                <c:pt idx="34">
                  <c:v>4.5640000000000001</c:v>
                </c:pt>
                <c:pt idx="35">
                  <c:v>4.57</c:v>
                </c:pt>
                <c:pt idx="36">
                  <c:v>4.5759999999999996</c:v>
                </c:pt>
                <c:pt idx="37">
                  <c:v>4.5819999999999999</c:v>
                </c:pt>
                <c:pt idx="38">
                  <c:v>4.5890000000000004</c:v>
                </c:pt>
                <c:pt idx="39">
                  <c:v>4.5960000000000001</c:v>
                </c:pt>
                <c:pt idx="40">
                  <c:v>4.6040000000000001</c:v>
                </c:pt>
                <c:pt idx="41">
                  <c:v>4.6109999999999998</c:v>
                </c:pt>
                <c:pt idx="42">
                  <c:v>4.62</c:v>
                </c:pt>
                <c:pt idx="43">
                  <c:v>4.6280000000000001</c:v>
                </c:pt>
                <c:pt idx="44">
                  <c:v>4.6369999999999996</c:v>
                </c:pt>
                <c:pt idx="45">
                  <c:v>4.6459999999999999</c:v>
                </c:pt>
                <c:pt idx="46">
                  <c:v>4.6559999999999997</c:v>
                </c:pt>
                <c:pt idx="47">
                  <c:v>4.6660000000000004</c:v>
                </c:pt>
                <c:pt idx="48">
                  <c:v>4.6769999999999996</c:v>
                </c:pt>
                <c:pt idx="49">
                  <c:v>4.6879999999999997</c:v>
                </c:pt>
                <c:pt idx="50">
                  <c:v>4.7</c:v>
                </c:pt>
                <c:pt idx="51">
                  <c:v>4.7119999999999997</c:v>
                </c:pt>
                <c:pt idx="52">
                  <c:v>4.7240000000000002</c:v>
                </c:pt>
                <c:pt idx="53">
                  <c:v>4.7380000000000004</c:v>
                </c:pt>
                <c:pt idx="54">
                  <c:v>4.7519999999999998</c:v>
                </c:pt>
                <c:pt idx="55">
                  <c:v>4.766</c:v>
                </c:pt>
                <c:pt idx="56">
                  <c:v>4.7809999999999997</c:v>
                </c:pt>
                <c:pt idx="57">
                  <c:v>4.7969999999999997</c:v>
                </c:pt>
                <c:pt idx="58">
                  <c:v>4.8140000000000001</c:v>
                </c:pt>
                <c:pt idx="59">
                  <c:v>4.8310000000000004</c:v>
                </c:pt>
                <c:pt idx="60">
                  <c:v>4.8490000000000002</c:v>
                </c:pt>
                <c:pt idx="61">
                  <c:v>4.8680000000000003</c:v>
                </c:pt>
                <c:pt idx="62">
                  <c:v>4.8869999999999996</c:v>
                </c:pt>
                <c:pt idx="63">
                  <c:v>4.9080000000000004</c:v>
                </c:pt>
                <c:pt idx="64">
                  <c:v>4.9290000000000003</c:v>
                </c:pt>
                <c:pt idx="65">
                  <c:v>4.952</c:v>
                </c:pt>
                <c:pt idx="66">
                  <c:v>4.9749999999999996</c:v>
                </c:pt>
                <c:pt idx="67">
                  <c:v>4.9989999999999997</c:v>
                </c:pt>
                <c:pt idx="68">
                  <c:v>5.0250000000000004</c:v>
                </c:pt>
                <c:pt idx="69">
                  <c:v>5.0510000000000002</c:v>
                </c:pt>
                <c:pt idx="70">
                  <c:v>5.0789999999999997</c:v>
                </c:pt>
                <c:pt idx="71">
                  <c:v>5.1070000000000002</c:v>
                </c:pt>
                <c:pt idx="72">
                  <c:v>5.1369999999999996</c:v>
                </c:pt>
                <c:pt idx="73">
                  <c:v>5.1680000000000001</c:v>
                </c:pt>
                <c:pt idx="74">
                  <c:v>5.2</c:v>
                </c:pt>
                <c:pt idx="75">
                  <c:v>5.234</c:v>
                </c:pt>
                <c:pt idx="76">
                  <c:v>5.2690000000000001</c:v>
                </c:pt>
                <c:pt idx="77">
                  <c:v>5.3049999999999997</c:v>
                </c:pt>
                <c:pt idx="78">
                  <c:v>5.343</c:v>
                </c:pt>
                <c:pt idx="79">
                  <c:v>5.3819999999999997</c:v>
                </c:pt>
                <c:pt idx="80">
                  <c:v>5.4219999999999997</c:v>
                </c:pt>
                <c:pt idx="81">
                  <c:v>5.4640000000000004</c:v>
                </c:pt>
                <c:pt idx="82">
                  <c:v>5.5069999999999997</c:v>
                </c:pt>
                <c:pt idx="83">
                  <c:v>5.5519999999999996</c:v>
                </c:pt>
                <c:pt idx="84">
                  <c:v>5.5979999999999999</c:v>
                </c:pt>
                <c:pt idx="85">
                  <c:v>5.6459999999999999</c:v>
                </c:pt>
                <c:pt idx="86">
                  <c:v>5.6950000000000003</c:v>
                </c:pt>
                <c:pt idx="87">
                  <c:v>5.7460000000000004</c:v>
                </c:pt>
                <c:pt idx="88">
                  <c:v>5.798</c:v>
                </c:pt>
                <c:pt idx="89">
                  <c:v>5.851</c:v>
                </c:pt>
                <c:pt idx="90">
                  <c:v>5.9059999999999997</c:v>
                </c:pt>
                <c:pt idx="91">
                  <c:v>5.9619999999999997</c:v>
                </c:pt>
                <c:pt idx="92">
                  <c:v>6.0190000000000001</c:v>
                </c:pt>
                <c:pt idx="93">
                  <c:v>6.077</c:v>
                </c:pt>
                <c:pt idx="94">
                  <c:v>6.1360000000000001</c:v>
                </c:pt>
                <c:pt idx="95">
                  <c:v>6.1950000000000003</c:v>
                </c:pt>
                <c:pt idx="96">
                  <c:v>6.2549999999999999</c:v>
                </c:pt>
                <c:pt idx="97">
                  <c:v>6.3140000000000001</c:v>
                </c:pt>
                <c:pt idx="98">
                  <c:v>6.3739999999999997</c:v>
                </c:pt>
                <c:pt idx="99">
                  <c:v>6.4329999999999998</c:v>
                </c:pt>
                <c:pt idx="100">
                  <c:v>6.492</c:v>
                </c:pt>
                <c:pt idx="101">
                  <c:v>6.5490000000000004</c:v>
                </c:pt>
                <c:pt idx="102">
                  <c:v>6.6040000000000001</c:v>
                </c:pt>
                <c:pt idx="103">
                  <c:v>6.657</c:v>
                </c:pt>
                <c:pt idx="104">
                  <c:v>6.7069999999999999</c:v>
                </c:pt>
                <c:pt idx="105">
                  <c:v>6.7530000000000001</c:v>
                </c:pt>
                <c:pt idx="106">
                  <c:v>6.7960000000000003</c:v>
                </c:pt>
                <c:pt idx="107">
                  <c:v>6.8330000000000002</c:v>
                </c:pt>
                <c:pt idx="108">
                  <c:v>6.8650000000000002</c:v>
                </c:pt>
                <c:pt idx="109">
                  <c:v>6.89</c:v>
                </c:pt>
                <c:pt idx="110">
                  <c:v>6.9080000000000004</c:v>
                </c:pt>
                <c:pt idx="111">
                  <c:v>6.9180000000000001</c:v>
                </c:pt>
                <c:pt idx="112">
                  <c:v>6.9189999999999996</c:v>
                </c:pt>
                <c:pt idx="113">
                  <c:v>6.91</c:v>
                </c:pt>
                <c:pt idx="114">
                  <c:v>6.8920000000000003</c:v>
                </c:pt>
                <c:pt idx="115">
                  <c:v>6.8630000000000004</c:v>
                </c:pt>
                <c:pt idx="116">
                  <c:v>6.8230000000000004</c:v>
                </c:pt>
                <c:pt idx="117">
                  <c:v>6.7709999999999999</c:v>
                </c:pt>
                <c:pt idx="118">
                  <c:v>6.7080000000000002</c:v>
                </c:pt>
                <c:pt idx="119">
                  <c:v>6.633</c:v>
                </c:pt>
                <c:pt idx="120">
                  <c:v>6.548</c:v>
                </c:pt>
                <c:pt idx="121" formatCode="0.00E+00">
                  <c:v>6.4509999999999996</c:v>
                </c:pt>
                <c:pt idx="122" formatCode="0.00E+00">
                  <c:v>6.3440000000000003</c:v>
                </c:pt>
                <c:pt idx="123" formatCode="0.00E+00">
                  <c:v>6.2279999999999998</c:v>
                </c:pt>
                <c:pt idx="124" formatCode="0.00E+00">
                  <c:v>6.1040000000000001</c:v>
                </c:pt>
                <c:pt idx="125" formatCode="0.00E+00">
                  <c:v>5.9720000000000004</c:v>
                </c:pt>
                <c:pt idx="126" formatCode="0.00E+00">
                  <c:v>5.8339999999999996</c:v>
                </c:pt>
                <c:pt idx="127" formatCode="0.00E+00">
                  <c:v>5.6920000000000002</c:v>
                </c:pt>
                <c:pt idx="128" formatCode="0.00E+00">
                  <c:v>5.5460000000000003</c:v>
                </c:pt>
                <c:pt idx="129" formatCode="0.00E+00">
                  <c:v>5.399</c:v>
                </c:pt>
                <c:pt idx="130" formatCode="0.00E+00">
                  <c:v>5.2510000000000003</c:v>
                </c:pt>
                <c:pt idx="131" formatCode="0.00E+00">
                  <c:v>5.1050000000000004</c:v>
                </c:pt>
                <c:pt idx="132" formatCode="0.00E+00">
                  <c:v>4.9630000000000001</c:v>
                </c:pt>
                <c:pt idx="133" formatCode="0.00E+00">
                  <c:v>4.8250000000000002</c:v>
                </c:pt>
                <c:pt idx="134" formatCode="0.00E+00">
                  <c:v>4.6929999999999996</c:v>
                </c:pt>
                <c:pt idx="135" formatCode="0.00E+00">
                  <c:v>4.57</c:v>
                </c:pt>
                <c:pt idx="136" formatCode="0.00E+00">
                  <c:v>4.4569999999999999</c:v>
                </c:pt>
                <c:pt idx="137" formatCode="0.00E+00">
                  <c:v>4.3559999999999999</c:v>
                </c:pt>
                <c:pt idx="138" formatCode="0.00E+00">
                  <c:v>4.2679999999999998</c:v>
                </c:pt>
                <c:pt idx="139" formatCode="0.00E+00">
                  <c:v>4.1950000000000003</c:v>
                </c:pt>
                <c:pt idx="140" formatCode="0.00E+00">
                  <c:v>4.1379999999999999</c:v>
                </c:pt>
                <c:pt idx="141" formatCode="0.00E+00">
                  <c:v>4.101</c:v>
                </c:pt>
                <c:pt idx="142" formatCode="0.00E+00">
                  <c:v>4.0830000000000002</c:v>
                </c:pt>
                <c:pt idx="143" formatCode="0.00E+00">
                  <c:v>4.0880000000000001</c:v>
                </c:pt>
                <c:pt idx="144" formatCode="0.00E+00">
                  <c:v>4.1159999999999997</c:v>
                </c:pt>
                <c:pt idx="145" formatCode="0.00E+00">
                  <c:v>4.17</c:v>
                </c:pt>
                <c:pt idx="146" formatCode="0.00E+00">
                  <c:v>4.25</c:v>
                </c:pt>
                <c:pt idx="147" formatCode="0.00E+00">
                  <c:v>4.359</c:v>
                </c:pt>
                <c:pt idx="148" formatCode="0.00E+00">
                  <c:v>4.4969999999999999</c:v>
                </c:pt>
                <c:pt idx="149" formatCode="0.00E+00">
                  <c:v>4.6639999999999997</c:v>
                </c:pt>
                <c:pt idx="150" formatCode="0.00E+00">
                  <c:v>4.8600000000000003</c:v>
                </c:pt>
                <c:pt idx="151" formatCode="0.00E+00">
                  <c:v>5.0839999999999996</c:v>
                </c:pt>
                <c:pt idx="152" formatCode="0.00E+00">
                  <c:v>5.3310000000000004</c:v>
                </c:pt>
                <c:pt idx="153" formatCode="0.00E+00">
                  <c:v>5.5970000000000004</c:v>
                </c:pt>
                <c:pt idx="154" formatCode="0.00E+00">
                  <c:v>5.8710000000000004</c:v>
                </c:pt>
                <c:pt idx="155" formatCode="0.00E+00">
                  <c:v>6.14</c:v>
                </c:pt>
                <c:pt idx="156" formatCode="0.00E+00">
                  <c:v>6.3860000000000001</c:v>
                </c:pt>
                <c:pt idx="157" formatCode="0.00E+00">
                  <c:v>6.5869999999999997</c:v>
                </c:pt>
                <c:pt idx="158" formatCode="0.00E+00">
                  <c:v>6.7190000000000003</c:v>
                </c:pt>
                <c:pt idx="159" formatCode="0.00E+00">
                  <c:v>6.7569999999999997</c:v>
                </c:pt>
                <c:pt idx="160" formatCode="0.00E+00">
                  <c:v>6.6879999999999997</c:v>
                </c:pt>
                <c:pt idx="161" formatCode="0.00E+00">
                  <c:v>6.5069999999999997</c:v>
                </c:pt>
                <c:pt idx="162" formatCode="0.00E+00">
                  <c:v>6.226</c:v>
                </c:pt>
                <c:pt idx="163" formatCode="0.00E+00">
                  <c:v>5.8650000000000002</c:v>
                </c:pt>
                <c:pt idx="164" formatCode="0.00E+00">
                  <c:v>5.4530000000000003</c:v>
                </c:pt>
                <c:pt idx="165" formatCode="0.00E+00">
                  <c:v>5.0209999999999999</c:v>
                </c:pt>
                <c:pt idx="166" formatCode="0.00E+00">
                  <c:v>4.5949999999999998</c:v>
                </c:pt>
                <c:pt idx="167" formatCode="0.00E+00">
                  <c:v>4.1989999999999998</c:v>
                </c:pt>
                <c:pt idx="168" formatCode="0.00E+00">
                  <c:v>3.8519999999999999</c:v>
                </c:pt>
                <c:pt idx="169" formatCode="0.00E+00">
                  <c:v>3.57</c:v>
                </c:pt>
                <c:pt idx="170" formatCode="0.00E+00">
                  <c:v>3.3660000000000001</c:v>
                </c:pt>
                <c:pt idx="171" formatCode="0.00E+00">
                  <c:v>3.25</c:v>
                </c:pt>
                <c:pt idx="172" formatCode="0.00E+00">
                  <c:v>3.2330000000000001</c:v>
                </c:pt>
                <c:pt idx="173" formatCode="0.00E+00">
                  <c:v>3.323</c:v>
                </c:pt>
                <c:pt idx="174" formatCode="0.00E+00">
                  <c:v>3.5270000000000001</c:v>
                </c:pt>
                <c:pt idx="175" formatCode="0.00E+00">
                  <c:v>3.8490000000000002</c:v>
                </c:pt>
                <c:pt idx="176" formatCode="0.00E+00">
                  <c:v>4.2850000000000001</c:v>
                </c:pt>
                <c:pt idx="177" formatCode="0.00E+00">
                  <c:v>4.8159999999999998</c:v>
                </c:pt>
                <c:pt idx="178" formatCode="0.00E+00">
                  <c:v>5.3970000000000002</c:v>
                </c:pt>
                <c:pt idx="179" formatCode="0.00E+00">
                  <c:v>5.9379999999999997</c:v>
                </c:pt>
                <c:pt idx="180" formatCode="0.00E+00">
                  <c:v>6.3029999999999999</c:v>
                </c:pt>
                <c:pt idx="181" formatCode="0.00E+00">
                  <c:v>6.3440000000000003</c:v>
                </c:pt>
                <c:pt idx="182" formatCode="0.00E+00">
                  <c:v>5.9989999999999997</c:v>
                </c:pt>
                <c:pt idx="183" formatCode="0.00E+00">
                  <c:v>5.3440000000000003</c:v>
                </c:pt>
                <c:pt idx="184" formatCode="0.00E+00">
                  <c:v>4.5380000000000003</c:v>
                </c:pt>
                <c:pt idx="185" formatCode="0.00E+00">
                  <c:v>3.7370000000000001</c:v>
                </c:pt>
                <c:pt idx="186" formatCode="0.00E+00">
                  <c:v>3.0449999999999999</c:v>
                </c:pt>
                <c:pt idx="187" formatCode="0.00E+00">
                  <c:v>2.5289999999999999</c:v>
                </c:pt>
                <c:pt idx="188" formatCode="0.00E+00">
                  <c:v>2.226</c:v>
                </c:pt>
                <c:pt idx="189" formatCode="0.00E+00">
                  <c:v>2.1669999999999998</c:v>
                </c:pt>
                <c:pt idx="190" formatCode="0.00E+00">
                  <c:v>2.371</c:v>
                </c:pt>
                <c:pt idx="191" formatCode="0.00E+00">
                  <c:v>2.855</c:v>
                </c:pt>
                <c:pt idx="192" formatCode="0.00E+00">
                  <c:v>3.609</c:v>
                </c:pt>
                <c:pt idx="193" formatCode="0.00E+00">
                  <c:v>4.5529999999999999</c:v>
                </c:pt>
                <c:pt idx="194" formatCode="0.00E+00">
                  <c:v>5.4370000000000003</c:v>
                </c:pt>
                <c:pt idx="195" formatCode="0.00E+00">
                  <c:v>5.7889999999999997</c:v>
                </c:pt>
                <c:pt idx="196" formatCode="0.00E+00">
                  <c:v>5.2610000000000001</c:v>
                </c:pt>
                <c:pt idx="197" formatCode="0.00E+00">
                  <c:v>4.1100000000000003</c:v>
                </c:pt>
                <c:pt idx="198" formatCode="0.00E+00">
                  <c:v>2.859</c:v>
                </c:pt>
                <c:pt idx="199" formatCode="0.00E+00">
                  <c:v>1.8460000000000001</c:v>
                </c:pt>
                <c:pt idx="200" formatCode="0.00E+00">
                  <c:v>1.2170000000000001</c:v>
                </c:pt>
              </c:numCache>
            </c:numRef>
          </c:yVal>
          <c:smooth val="0"/>
          <c:extLst>
            <c:ext xmlns:c16="http://schemas.microsoft.com/office/drawing/2014/chart" uri="{C3380CC4-5D6E-409C-BE32-E72D297353CC}">
              <c16:uniqueId val="{00000000-C724-4190-B18B-8D580C7EFE86}"/>
            </c:ext>
          </c:extLst>
        </c:ser>
        <c:ser>
          <c:idx val="0"/>
          <c:order val="1"/>
          <c:tx>
            <c:strRef>
              <c:f>'Input-data'!$E$58</c:f>
              <c:strCache>
                <c:ptCount val="1"/>
                <c:pt idx="0">
                  <c:v>Forward</c:v>
                </c:pt>
              </c:strCache>
            </c:strRef>
          </c:tx>
          <c:spPr>
            <a:ln w="25400">
              <a:solidFill>
                <a:srgbClr val="0000FF"/>
              </a:solidFill>
              <a:prstDash val="solid"/>
            </a:ln>
          </c:spPr>
          <c:marker>
            <c:symbol val="none"/>
          </c:marker>
          <c:xVal>
            <c:numRef>
              <c:f>'Input-data'!$B$60:$B$260</c:f>
              <c:numCache>
                <c:formatCode>0.00E+00</c:formatCode>
                <c:ptCount val="201"/>
                <c:pt idx="0">
                  <c:v>100000000</c:v>
                </c:pt>
                <c:pt idx="1">
                  <c:v>102300000</c:v>
                </c:pt>
                <c:pt idx="2">
                  <c:v>104700000</c:v>
                </c:pt>
                <c:pt idx="3">
                  <c:v>107200000</c:v>
                </c:pt>
                <c:pt idx="4">
                  <c:v>109600000</c:v>
                </c:pt>
                <c:pt idx="5">
                  <c:v>112200000</c:v>
                </c:pt>
                <c:pt idx="6">
                  <c:v>114800000</c:v>
                </c:pt>
                <c:pt idx="7">
                  <c:v>117500000</c:v>
                </c:pt>
                <c:pt idx="8">
                  <c:v>120200000</c:v>
                </c:pt>
                <c:pt idx="9">
                  <c:v>123000000</c:v>
                </c:pt>
                <c:pt idx="10">
                  <c:v>125900000</c:v>
                </c:pt>
                <c:pt idx="11">
                  <c:v>128800000</c:v>
                </c:pt>
                <c:pt idx="12">
                  <c:v>131800000</c:v>
                </c:pt>
                <c:pt idx="13">
                  <c:v>134900000</c:v>
                </c:pt>
                <c:pt idx="14">
                  <c:v>138000000</c:v>
                </c:pt>
                <c:pt idx="15">
                  <c:v>141300000</c:v>
                </c:pt>
                <c:pt idx="16">
                  <c:v>144500000</c:v>
                </c:pt>
                <c:pt idx="17">
                  <c:v>147900000</c:v>
                </c:pt>
                <c:pt idx="18">
                  <c:v>151400000</c:v>
                </c:pt>
                <c:pt idx="19">
                  <c:v>154900000</c:v>
                </c:pt>
                <c:pt idx="20">
                  <c:v>158500000</c:v>
                </c:pt>
                <c:pt idx="21">
                  <c:v>162200000</c:v>
                </c:pt>
                <c:pt idx="22">
                  <c:v>166000000</c:v>
                </c:pt>
                <c:pt idx="23">
                  <c:v>169800000</c:v>
                </c:pt>
                <c:pt idx="24">
                  <c:v>173800000</c:v>
                </c:pt>
                <c:pt idx="25">
                  <c:v>177800000</c:v>
                </c:pt>
                <c:pt idx="26">
                  <c:v>182000000</c:v>
                </c:pt>
                <c:pt idx="27">
                  <c:v>186200000</c:v>
                </c:pt>
                <c:pt idx="28">
                  <c:v>190500000</c:v>
                </c:pt>
                <c:pt idx="29">
                  <c:v>195000000</c:v>
                </c:pt>
                <c:pt idx="30">
                  <c:v>199500000</c:v>
                </c:pt>
                <c:pt idx="31">
                  <c:v>204200000</c:v>
                </c:pt>
                <c:pt idx="32">
                  <c:v>208900000</c:v>
                </c:pt>
                <c:pt idx="33">
                  <c:v>213800000</c:v>
                </c:pt>
                <c:pt idx="34">
                  <c:v>218800000</c:v>
                </c:pt>
                <c:pt idx="35">
                  <c:v>223900000</c:v>
                </c:pt>
                <c:pt idx="36">
                  <c:v>229100000</c:v>
                </c:pt>
                <c:pt idx="37">
                  <c:v>234400000</c:v>
                </c:pt>
                <c:pt idx="38">
                  <c:v>239900000</c:v>
                </c:pt>
                <c:pt idx="39">
                  <c:v>245500000</c:v>
                </c:pt>
                <c:pt idx="40">
                  <c:v>251200000</c:v>
                </c:pt>
                <c:pt idx="41">
                  <c:v>257000000</c:v>
                </c:pt>
                <c:pt idx="42">
                  <c:v>263000000</c:v>
                </c:pt>
                <c:pt idx="43">
                  <c:v>269200000</c:v>
                </c:pt>
                <c:pt idx="44">
                  <c:v>275400000</c:v>
                </c:pt>
                <c:pt idx="45">
                  <c:v>281800000</c:v>
                </c:pt>
                <c:pt idx="46">
                  <c:v>288400000</c:v>
                </c:pt>
                <c:pt idx="47">
                  <c:v>295100000</c:v>
                </c:pt>
                <c:pt idx="48">
                  <c:v>302000000</c:v>
                </c:pt>
                <c:pt idx="49">
                  <c:v>309000000</c:v>
                </c:pt>
                <c:pt idx="50">
                  <c:v>316200000</c:v>
                </c:pt>
                <c:pt idx="51">
                  <c:v>323600000</c:v>
                </c:pt>
                <c:pt idx="52">
                  <c:v>331100000</c:v>
                </c:pt>
                <c:pt idx="53">
                  <c:v>338800000</c:v>
                </c:pt>
                <c:pt idx="54">
                  <c:v>346700000</c:v>
                </c:pt>
                <c:pt idx="55">
                  <c:v>354800000</c:v>
                </c:pt>
                <c:pt idx="56">
                  <c:v>363100000</c:v>
                </c:pt>
                <c:pt idx="57">
                  <c:v>371500000</c:v>
                </c:pt>
                <c:pt idx="58">
                  <c:v>380200000</c:v>
                </c:pt>
                <c:pt idx="59">
                  <c:v>389000000</c:v>
                </c:pt>
                <c:pt idx="60">
                  <c:v>398100000</c:v>
                </c:pt>
                <c:pt idx="61">
                  <c:v>407400000</c:v>
                </c:pt>
                <c:pt idx="62">
                  <c:v>416900000</c:v>
                </c:pt>
                <c:pt idx="63">
                  <c:v>426600000</c:v>
                </c:pt>
                <c:pt idx="64">
                  <c:v>436500000</c:v>
                </c:pt>
                <c:pt idx="65">
                  <c:v>446700000</c:v>
                </c:pt>
                <c:pt idx="66">
                  <c:v>457100000</c:v>
                </c:pt>
                <c:pt idx="67">
                  <c:v>467700000</c:v>
                </c:pt>
                <c:pt idx="68">
                  <c:v>478600000</c:v>
                </c:pt>
                <c:pt idx="69">
                  <c:v>489800000</c:v>
                </c:pt>
                <c:pt idx="70">
                  <c:v>501200000</c:v>
                </c:pt>
                <c:pt idx="71">
                  <c:v>512900000</c:v>
                </c:pt>
                <c:pt idx="72">
                  <c:v>524800000</c:v>
                </c:pt>
                <c:pt idx="73">
                  <c:v>537000000</c:v>
                </c:pt>
                <c:pt idx="74">
                  <c:v>549500000</c:v>
                </c:pt>
                <c:pt idx="75">
                  <c:v>562300000</c:v>
                </c:pt>
                <c:pt idx="76">
                  <c:v>575400000</c:v>
                </c:pt>
                <c:pt idx="77">
                  <c:v>588800000</c:v>
                </c:pt>
                <c:pt idx="78">
                  <c:v>602600000</c:v>
                </c:pt>
                <c:pt idx="79">
                  <c:v>616600000</c:v>
                </c:pt>
                <c:pt idx="80">
                  <c:v>631000000</c:v>
                </c:pt>
                <c:pt idx="81">
                  <c:v>645700000</c:v>
                </c:pt>
                <c:pt idx="82">
                  <c:v>660700000</c:v>
                </c:pt>
                <c:pt idx="83">
                  <c:v>676100000</c:v>
                </c:pt>
                <c:pt idx="84">
                  <c:v>691800000</c:v>
                </c:pt>
                <c:pt idx="85">
                  <c:v>707900000</c:v>
                </c:pt>
                <c:pt idx="86">
                  <c:v>724400000</c:v>
                </c:pt>
                <c:pt idx="87">
                  <c:v>741300000</c:v>
                </c:pt>
                <c:pt idx="88">
                  <c:v>758600000</c:v>
                </c:pt>
                <c:pt idx="89">
                  <c:v>776200000</c:v>
                </c:pt>
                <c:pt idx="90">
                  <c:v>794300000</c:v>
                </c:pt>
                <c:pt idx="91">
                  <c:v>812800000</c:v>
                </c:pt>
                <c:pt idx="92">
                  <c:v>831800000</c:v>
                </c:pt>
                <c:pt idx="93">
                  <c:v>851100000</c:v>
                </c:pt>
                <c:pt idx="94">
                  <c:v>871000000</c:v>
                </c:pt>
                <c:pt idx="95">
                  <c:v>891300000</c:v>
                </c:pt>
                <c:pt idx="96">
                  <c:v>912000000</c:v>
                </c:pt>
                <c:pt idx="97">
                  <c:v>933300000</c:v>
                </c:pt>
                <c:pt idx="98">
                  <c:v>955000000</c:v>
                </c:pt>
                <c:pt idx="99">
                  <c:v>977200000</c:v>
                </c:pt>
                <c:pt idx="100">
                  <c:v>1000000000</c:v>
                </c:pt>
                <c:pt idx="101">
                  <c:v>1023000000</c:v>
                </c:pt>
                <c:pt idx="102">
                  <c:v>1047000000</c:v>
                </c:pt>
                <c:pt idx="103">
                  <c:v>1072000000</c:v>
                </c:pt>
                <c:pt idx="104">
                  <c:v>1096000000</c:v>
                </c:pt>
                <c:pt idx="105">
                  <c:v>1122000000</c:v>
                </c:pt>
                <c:pt idx="106">
                  <c:v>1148000000</c:v>
                </c:pt>
                <c:pt idx="107">
                  <c:v>1175000000</c:v>
                </c:pt>
                <c:pt idx="108">
                  <c:v>1202000000</c:v>
                </c:pt>
                <c:pt idx="109">
                  <c:v>1230000000</c:v>
                </c:pt>
                <c:pt idx="110">
                  <c:v>1259000000</c:v>
                </c:pt>
                <c:pt idx="111">
                  <c:v>1288000000</c:v>
                </c:pt>
                <c:pt idx="112">
                  <c:v>1318000000</c:v>
                </c:pt>
                <c:pt idx="113">
                  <c:v>1349000000</c:v>
                </c:pt>
                <c:pt idx="114">
                  <c:v>1380000000</c:v>
                </c:pt>
                <c:pt idx="115">
                  <c:v>1413000000</c:v>
                </c:pt>
                <c:pt idx="116">
                  <c:v>1445000000</c:v>
                </c:pt>
                <c:pt idx="117">
                  <c:v>1479000000</c:v>
                </c:pt>
                <c:pt idx="118">
                  <c:v>1514000000</c:v>
                </c:pt>
                <c:pt idx="119">
                  <c:v>1549000000</c:v>
                </c:pt>
                <c:pt idx="120">
                  <c:v>1585000000</c:v>
                </c:pt>
                <c:pt idx="121">
                  <c:v>1622000000</c:v>
                </c:pt>
                <c:pt idx="122">
                  <c:v>1660000000</c:v>
                </c:pt>
                <c:pt idx="123">
                  <c:v>1698000000</c:v>
                </c:pt>
                <c:pt idx="124">
                  <c:v>1738000000</c:v>
                </c:pt>
                <c:pt idx="125">
                  <c:v>1778000000</c:v>
                </c:pt>
                <c:pt idx="126">
                  <c:v>1820000000</c:v>
                </c:pt>
                <c:pt idx="127">
                  <c:v>1862000000</c:v>
                </c:pt>
                <c:pt idx="128">
                  <c:v>1905000000</c:v>
                </c:pt>
                <c:pt idx="129">
                  <c:v>1950000000</c:v>
                </c:pt>
                <c:pt idx="130">
                  <c:v>1995000000</c:v>
                </c:pt>
                <c:pt idx="131">
                  <c:v>2042000000</c:v>
                </c:pt>
                <c:pt idx="132">
                  <c:v>2089000000</c:v>
                </c:pt>
                <c:pt idx="133">
                  <c:v>2138000000</c:v>
                </c:pt>
                <c:pt idx="134">
                  <c:v>2188000000</c:v>
                </c:pt>
                <c:pt idx="135">
                  <c:v>2239000000</c:v>
                </c:pt>
                <c:pt idx="136">
                  <c:v>2291000000</c:v>
                </c:pt>
                <c:pt idx="137">
                  <c:v>2344000000</c:v>
                </c:pt>
                <c:pt idx="138">
                  <c:v>2399000000</c:v>
                </c:pt>
                <c:pt idx="139">
                  <c:v>2455000000</c:v>
                </c:pt>
                <c:pt idx="140">
                  <c:v>2512000000</c:v>
                </c:pt>
                <c:pt idx="141">
                  <c:v>2570000000</c:v>
                </c:pt>
                <c:pt idx="142">
                  <c:v>2630000000</c:v>
                </c:pt>
                <c:pt idx="143">
                  <c:v>2692000000</c:v>
                </c:pt>
                <c:pt idx="144">
                  <c:v>2754000000</c:v>
                </c:pt>
                <c:pt idx="145">
                  <c:v>2818000000</c:v>
                </c:pt>
                <c:pt idx="146">
                  <c:v>2884000000</c:v>
                </c:pt>
                <c:pt idx="147">
                  <c:v>2951000000</c:v>
                </c:pt>
                <c:pt idx="148">
                  <c:v>3020000000</c:v>
                </c:pt>
                <c:pt idx="149">
                  <c:v>3090000000</c:v>
                </c:pt>
                <c:pt idx="150">
                  <c:v>3162000000</c:v>
                </c:pt>
                <c:pt idx="151">
                  <c:v>3236000000</c:v>
                </c:pt>
                <c:pt idx="152">
                  <c:v>3311000000</c:v>
                </c:pt>
                <c:pt idx="153">
                  <c:v>3388000000</c:v>
                </c:pt>
                <c:pt idx="154">
                  <c:v>3467000000</c:v>
                </c:pt>
                <c:pt idx="155">
                  <c:v>3548000000</c:v>
                </c:pt>
                <c:pt idx="156">
                  <c:v>3631000000</c:v>
                </c:pt>
                <c:pt idx="157">
                  <c:v>3715000000</c:v>
                </c:pt>
                <c:pt idx="158">
                  <c:v>3802000000</c:v>
                </c:pt>
                <c:pt idx="159">
                  <c:v>3890000000</c:v>
                </c:pt>
                <c:pt idx="160">
                  <c:v>3981000000</c:v>
                </c:pt>
                <c:pt idx="161">
                  <c:v>4074000000</c:v>
                </c:pt>
                <c:pt idx="162">
                  <c:v>4169000000</c:v>
                </c:pt>
                <c:pt idx="163">
                  <c:v>4266000000</c:v>
                </c:pt>
                <c:pt idx="164">
                  <c:v>4365000000</c:v>
                </c:pt>
                <c:pt idx="165">
                  <c:v>4467000000</c:v>
                </c:pt>
                <c:pt idx="166">
                  <c:v>4571000000</c:v>
                </c:pt>
                <c:pt idx="167">
                  <c:v>4677000000</c:v>
                </c:pt>
                <c:pt idx="168">
                  <c:v>4786000000</c:v>
                </c:pt>
                <c:pt idx="169">
                  <c:v>4898000000</c:v>
                </c:pt>
                <c:pt idx="170">
                  <c:v>5012000000</c:v>
                </c:pt>
                <c:pt idx="171">
                  <c:v>5129000000</c:v>
                </c:pt>
                <c:pt idx="172">
                  <c:v>5248000000</c:v>
                </c:pt>
                <c:pt idx="173">
                  <c:v>5370000000</c:v>
                </c:pt>
                <c:pt idx="174">
                  <c:v>5495000000</c:v>
                </c:pt>
                <c:pt idx="175">
                  <c:v>5623000000</c:v>
                </c:pt>
                <c:pt idx="176">
                  <c:v>5754000000</c:v>
                </c:pt>
                <c:pt idx="177">
                  <c:v>5888000000</c:v>
                </c:pt>
                <c:pt idx="178">
                  <c:v>6026000000</c:v>
                </c:pt>
                <c:pt idx="179">
                  <c:v>6166000000</c:v>
                </c:pt>
                <c:pt idx="180">
                  <c:v>6310000000</c:v>
                </c:pt>
                <c:pt idx="181">
                  <c:v>6457000000</c:v>
                </c:pt>
                <c:pt idx="182">
                  <c:v>6607000000</c:v>
                </c:pt>
                <c:pt idx="183">
                  <c:v>6761000000</c:v>
                </c:pt>
                <c:pt idx="184">
                  <c:v>6918000000</c:v>
                </c:pt>
                <c:pt idx="185">
                  <c:v>7079000000</c:v>
                </c:pt>
                <c:pt idx="186">
                  <c:v>7244000000</c:v>
                </c:pt>
                <c:pt idx="187">
                  <c:v>7413000000</c:v>
                </c:pt>
                <c:pt idx="188">
                  <c:v>7586000000</c:v>
                </c:pt>
                <c:pt idx="189">
                  <c:v>7762000000</c:v>
                </c:pt>
                <c:pt idx="190">
                  <c:v>7943000000</c:v>
                </c:pt>
                <c:pt idx="191">
                  <c:v>8128000000</c:v>
                </c:pt>
                <c:pt idx="192">
                  <c:v>8318000000</c:v>
                </c:pt>
                <c:pt idx="193">
                  <c:v>8511000000</c:v>
                </c:pt>
                <c:pt idx="194">
                  <c:v>8710000000</c:v>
                </c:pt>
                <c:pt idx="195">
                  <c:v>8913000000</c:v>
                </c:pt>
                <c:pt idx="196">
                  <c:v>9120000000</c:v>
                </c:pt>
                <c:pt idx="197">
                  <c:v>9333000000</c:v>
                </c:pt>
                <c:pt idx="198">
                  <c:v>9550000000</c:v>
                </c:pt>
                <c:pt idx="199">
                  <c:v>9772000000</c:v>
                </c:pt>
                <c:pt idx="200">
                  <c:v>10000000000</c:v>
                </c:pt>
              </c:numCache>
            </c:numRef>
          </c:xVal>
          <c:yVal>
            <c:numRef>
              <c:f>'Input-data'!$I$60:$I$260</c:f>
              <c:numCache>
                <c:formatCode>0.0E+00</c:formatCode>
                <c:ptCount val="201"/>
                <c:pt idx="0">
                  <c:v>4.4859999999999998</c:v>
                </c:pt>
                <c:pt idx="1">
                  <c:v>4.4889999999999999</c:v>
                </c:pt>
                <c:pt idx="2">
                  <c:v>4.4909999999999997</c:v>
                </c:pt>
                <c:pt idx="3">
                  <c:v>4.4939999999999998</c:v>
                </c:pt>
                <c:pt idx="4">
                  <c:v>4.4960000000000004</c:v>
                </c:pt>
                <c:pt idx="5">
                  <c:v>4.4989999999999997</c:v>
                </c:pt>
                <c:pt idx="6">
                  <c:v>4.5019999999999998</c:v>
                </c:pt>
                <c:pt idx="7">
                  <c:v>4.5049999999999999</c:v>
                </c:pt>
                <c:pt idx="8">
                  <c:v>4.508</c:v>
                </c:pt>
                <c:pt idx="9">
                  <c:v>4.5119999999999996</c:v>
                </c:pt>
                <c:pt idx="10">
                  <c:v>4.5149999999999997</c:v>
                </c:pt>
                <c:pt idx="11">
                  <c:v>4.5190000000000001</c:v>
                </c:pt>
                <c:pt idx="12">
                  <c:v>4.5229999999999997</c:v>
                </c:pt>
                <c:pt idx="13">
                  <c:v>4.5270000000000001</c:v>
                </c:pt>
                <c:pt idx="14">
                  <c:v>4.5309999999999997</c:v>
                </c:pt>
                <c:pt idx="15">
                  <c:v>4.5350000000000001</c:v>
                </c:pt>
                <c:pt idx="16">
                  <c:v>4.54</c:v>
                </c:pt>
                <c:pt idx="17">
                  <c:v>4.5449999999999999</c:v>
                </c:pt>
                <c:pt idx="18">
                  <c:v>4.55</c:v>
                </c:pt>
                <c:pt idx="19">
                  <c:v>4.5549999999999997</c:v>
                </c:pt>
                <c:pt idx="20">
                  <c:v>4.5609999999999999</c:v>
                </c:pt>
                <c:pt idx="21">
                  <c:v>4.5659999999999998</c:v>
                </c:pt>
                <c:pt idx="22">
                  <c:v>4.5720000000000001</c:v>
                </c:pt>
                <c:pt idx="23">
                  <c:v>4.5789999999999997</c:v>
                </c:pt>
                <c:pt idx="24">
                  <c:v>4.585</c:v>
                </c:pt>
                <c:pt idx="25">
                  <c:v>4.5919999999999996</c:v>
                </c:pt>
                <c:pt idx="26">
                  <c:v>4.5999999999999996</c:v>
                </c:pt>
                <c:pt idx="27">
                  <c:v>4.6070000000000002</c:v>
                </c:pt>
                <c:pt idx="28">
                  <c:v>4.6150000000000002</c:v>
                </c:pt>
                <c:pt idx="29">
                  <c:v>4.6230000000000002</c:v>
                </c:pt>
                <c:pt idx="30">
                  <c:v>4.6319999999999997</c:v>
                </c:pt>
                <c:pt idx="31">
                  <c:v>4.641</c:v>
                </c:pt>
                <c:pt idx="32">
                  <c:v>4.6509999999999998</c:v>
                </c:pt>
                <c:pt idx="33">
                  <c:v>4.6609999999999996</c:v>
                </c:pt>
                <c:pt idx="34">
                  <c:v>4.6710000000000003</c:v>
                </c:pt>
                <c:pt idx="35">
                  <c:v>4.6820000000000004</c:v>
                </c:pt>
                <c:pt idx="36">
                  <c:v>4.6929999999999996</c:v>
                </c:pt>
                <c:pt idx="37">
                  <c:v>4.7050000000000001</c:v>
                </c:pt>
                <c:pt idx="38">
                  <c:v>4.718</c:v>
                </c:pt>
                <c:pt idx="39">
                  <c:v>4.7309999999999999</c:v>
                </c:pt>
                <c:pt idx="40">
                  <c:v>4.7439999999999998</c:v>
                </c:pt>
                <c:pt idx="41">
                  <c:v>4.758</c:v>
                </c:pt>
                <c:pt idx="42">
                  <c:v>4.7729999999999997</c:v>
                </c:pt>
                <c:pt idx="43">
                  <c:v>4.7889999999999997</c:v>
                </c:pt>
                <c:pt idx="44">
                  <c:v>4.8049999999999997</c:v>
                </c:pt>
                <c:pt idx="45">
                  <c:v>4.8220000000000001</c:v>
                </c:pt>
                <c:pt idx="46">
                  <c:v>4.8390000000000004</c:v>
                </c:pt>
                <c:pt idx="47">
                  <c:v>4.8579999999999997</c:v>
                </c:pt>
                <c:pt idx="48">
                  <c:v>4.8769999999999998</c:v>
                </c:pt>
                <c:pt idx="49">
                  <c:v>4.8970000000000002</c:v>
                </c:pt>
                <c:pt idx="50">
                  <c:v>4.9180000000000001</c:v>
                </c:pt>
                <c:pt idx="51">
                  <c:v>4.9400000000000004</c:v>
                </c:pt>
                <c:pt idx="52">
                  <c:v>4.9630000000000001</c:v>
                </c:pt>
                <c:pt idx="53">
                  <c:v>4.9870000000000001</c:v>
                </c:pt>
                <c:pt idx="54">
                  <c:v>5.0119999999999996</c:v>
                </c:pt>
                <c:pt idx="55">
                  <c:v>5.0380000000000003</c:v>
                </c:pt>
                <c:pt idx="56">
                  <c:v>5.0650000000000004</c:v>
                </c:pt>
                <c:pt idx="57">
                  <c:v>5.093</c:v>
                </c:pt>
                <c:pt idx="58">
                  <c:v>5.1230000000000002</c:v>
                </c:pt>
                <c:pt idx="59">
                  <c:v>5.1529999999999996</c:v>
                </c:pt>
                <c:pt idx="60">
                  <c:v>5.1849999999999996</c:v>
                </c:pt>
                <c:pt idx="61">
                  <c:v>5.218</c:v>
                </c:pt>
                <c:pt idx="62">
                  <c:v>5.2530000000000001</c:v>
                </c:pt>
                <c:pt idx="63">
                  <c:v>5.2880000000000003</c:v>
                </c:pt>
                <c:pt idx="64">
                  <c:v>5.3259999999999996</c:v>
                </c:pt>
                <c:pt idx="65">
                  <c:v>5.3639999999999999</c:v>
                </c:pt>
                <c:pt idx="66">
                  <c:v>5.4050000000000002</c:v>
                </c:pt>
                <c:pt idx="67">
                  <c:v>5.4459999999999997</c:v>
                </c:pt>
                <c:pt idx="68">
                  <c:v>5.4889999999999999</c:v>
                </c:pt>
                <c:pt idx="69">
                  <c:v>5.5339999999999998</c:v>
                </c:pt>
                <c:pt idx="70">
                  <c:v>5.58</c:v>
                </c:pt>
                <c:pt idx="71">
                  <c:v>5.6280000000000001</c:v>
                </c:pt>
                <c:pt idx="72">
                  <c:v>5.6769999999999996</c:v>
                </c:pt>
                <c:pt idx="73">
                  <c:v>5.7279999999999998</c:v>
                </c:pt>
                <c:pt idx="74">
                  <c:v>5.78</c:v>
                </c:pt>
                <c:pt idx="75">
                  <c:v>5.8339999999999996</c:v>
                </c:pt>
                <c:pt idx="76">
                  <c:v>5.8890000000000002</c:v>
                </c:pt>
                <c:pt idx="77">
                  <c:v>5.9459999999999997</c:v>
                </c:pt>
                <c:pt idx="78">
                  <c:v>6.0030000000000001</c:v>
                </c:pt>
                <c:pt idx="79">
                  <c:v>6.0620000000000003</c:v>
                </c:pt>
                <c:pt idx="80">
                  <c:v>6.1219999999999999</c:v>
                </c:pt>
                <c:pt idx="81">
                  <c:v>6.1829999999999998</c:v>
                </c:pt>
                <c:pt idx="82">
                  <c:v>6.2439999999999998</c:v>
                </c:pt>
                <c:pt idx="83">
                  <c:v>6.306</c:v>
                </c:pt>
                <c:pt idx="84">
                  <c:v>6.3680000000000003</c:v>
                </c:pt>
                <c:pt idx="85">
                  <c:v>6.43</c:v>
                </c:pt>
                <c:pt idx="86">
                  <c:v>6.4909999999999997</c:v>
                </c:pt>
                <c:pt idx="87">
                  <c:v>6.5510000000000002</c:v>
                </c:pt>
                <c:pt idx="88">
                  <c:v>6.61</c:v>
                </c:pt>
                <c:pt idx="89">
                  <c:v>6.6669999999999998</c:v>
                </c:pt>
                <c:pt idx="90">
                  <c:v>6.7210000000000001</c:v>
                </c:pt>
                <c:pt idx="91">
                  <c:v>6.7729999999999997</c:v>
                </c:pt>
                <c:pt idx="92">
                  <c:v>6.82</c:v>
                </c:pt>
                <c:pt idx="93">
                  <c:v>6.8620000000000001</c:v>
                </c:pt>
                <c:pt idx="94">
                  <c:v>6.899</c:v>
                </c:pt>
                <c:pt idx="95">
                  <c:v>6.93</c:v>
                </c:pt>
                <c:pt idx="96">
                  <c:v>6.9539999999999997</c:v>
                </c:pt>
                <c:pt idx="97">
                  <c:v>6.9690000000000003</c:v>
                </c:pt>
                <c:pt idx="98">
                  <c:v>6.976</c:v>
                </c:pt>
                <c:pt idx="99">
                  <c:v>6.9720000000000004</c:v>
                </c:pt>
                <c:pt idx="100">
                  <c:v>6.9580000000000002</c:v>
                </c:pt>
                <c:pt idx="101">
                  <c:v>6.9329999999999998</c:v>
                </c:pt>
                <c:pt idx="102">
                  <c:v>6.8949999999999996</c:v>
                </c:pt>
                <c:pt idx="103">
                  <c:v>6.8449999999999998</c:v>
                </c:pt>
                <c:pt idx="104">
                  <c:v>6.782</c:v>
                </c:pt>
                <c:pt idx="105">
                  <c:v>6.7060000000000004</c:v>
                </c:pt>
                <c:pt idx="106">
                  <c:v>6.6159999999999997</c:v>
                </c:pt>
                <c:pt idx="107">
                  <c:v>6.5140000000000002</c:v>
                </c:pt>
                <c:pt idx="108">
                  <c:v>6.399</c:v>
                </c:pt>
                <c:pt idx="109">
                  <c:v>6.2729999999999997</c:v>
                </c:pt>
                <c:pt idx="110">
                  <c:v>6.1360000000000001</c:v>
                </c:pt>
                <c:pt idx="111">
                  <c:v>5.9880000000000004</c:v>
                </c:pt>
                <c:pt idx="112">
                  <c:v>5.8319999999999999</c:v>
                </c:pt>
                <c:pt idx="113">
                  <c:v>5.6680000000000001</c:v>
                </c:pt>
                <c:pt idx="114">
                  <c:v>5.4980000000000002</c:v>
                </c:pt>
                <c:pt idx="115">
                  <c:v>5.3239999999999998</c:v>
                </c:pt>
                <c:pt idx="116">
                  <c:v>5.1459999999999999</c:v>
                </c:pt>
                <c:pt idx="117">
                  <c:v>4.9669999999999996</c:v>
                </c:pt>
                <c:pt idx="118">
                  <c:v>4.7880000000000003</c:v>
                </c:pt>
                <c:pt idx="119">
                  <c:v>4.6109999999999998</c:v>
                </c:pt>
                <c:pt idx="120">
                  <c:v>4.4370000000000003</c:v>
                </c:pt>
                <c:pt idx="121" formatCode="0.00E+00">
                  <c:v>4.2670000000000003</c:v>
                </c:pt>
                <c:pt idx="122" formatCode="0.00E+00">
                  <c:v>4.1050000000000004</c:v>
                </c:pt>
                <c:pt idx="123" formatCode="0.00E+00">
                  <c:v>3.9510000000000001</c:v>
                </c:pt>
                <c:pt idx="124" formatCode="0.00E+00">
                  <c:v>3.806</c:v>
                </c:pt>
                <c:pt idx="125" formatCode="0.00E+00">
                  <c:v>3.6720000000000002</c:v>
                </c:pt>
                <c:pt idx="126" formatCode="0.00E+00">
                  <c:v>3.552</c:v>
                </c:pt>
                <c:pt idx="127" formatCode="0.00E+00">
                  <c:v>3.4460000000000002</c:v>
                </c:pt>
                <c:pt idx="128" formatCode="0.00E+00">
                  <c:v>3.3559999999999999</c:v>
                </c:pt>
                <c:pt idx="129" formatCode="0.00E+00">
                  <c:v>3.2850000000000001</c:v>
                </c:pt>
                <c:pt idx="130" formatCode="0.00E+00">
                  <c:v>3.2330000000000001</c:v>
                </c:pt>
                <c:pt idx="131" formatCode="0.00E+00">
                  <c:v>3.202</c:v>
                </c:pt>
                <c:pt idx="132" formatCode="0.00E+00">
                  <c:v>3.194</c:v>
                </c:pt>
                <c:pt idx="133" formatCode="0.00E+00">
                  <c:v>3.2120000000000002</c:v>
                </c:pt>
                <c:pt idx="134" formatCode="0.00E+00">
                  <c:v>3.2570000000000001</c:v>
                </c:pt>
                <c:pt idx="135" formatCode="0.00E+00">
                  <c:v>3.331</c:v>
                </c:pt>
                <c:pt idx="136" formatCode="0.00E+00">
                  <c:v>3.4359999999999999</c:v>
                </c:pt>
                <c:pt idx="137" formatCode="0.00E+00">
                  <c:v>3.5739999999999998</c:v>
                </c:pt>
                <c:pt idx="138" formatCode="0.00E+00">
                  <c:v>3.7469999999999999</c:v>
                </c:pt>
                <c:pt idx="139" formatCode="0.00E+00">
                  <c:v>3.956</c:v>
                </c:pt>
                <c:pt idx="140" formatCode="0.00E+00">
                  <c:v>4.202</c:v>
                </c:pt>
                <c:pt idx="141" formatCode="0.00E+00">
                  <c:v>4.484</c:v>
                </c:pt>
                <c:pt idx="142" formatCode="0.00E+00">
                  <c:v>4.7990000000000004</c:v>
                </c:pt>
                <c:pt idx="143" formatCode="0.00E+00">
                  <c:v>5.1429999999999998</c:v>
                </c:pt>
                <c:pt idx="144" formatCode="0.00E+00">
                  <c:v>5.5039999999999996</c:v>
                </c:pt>
                <c:pt idx="145" formatCode="0.00E+00">
                  <c:v>5.8659999999999997</c:v>
                </c:pt>
                <c:pt idx="146" formatCode="0.00E+00">
                  <c:v>6.2039999999999997</c:v>
                </c:pt>
                <c:pt idx="147" formatCode="0.00E+00">
                  <c:v>6.4850000000000003</c:v>
                </c:pt>
                <c:pt idx="148" formatCode="0.00E+00">
                  <c:v>6.6689999999999996</c:v>
                </c:pt>
                <c:pt idx="149" formatCode="0.00E+00">
                  <c:v>6.7149999999999999</c:v>
                </c:pt>
                <c:pt idx="150" formatCode="0.00E+00">
                  <c:v>6.5960000000000001</c:v>
                </c:pt>
                <c:pt idx="151" formatCode="0.00E+00">
                  <c:v>6.3070000000000004</c:v>
                </c:pt>
                <c:pt idx="152" formatCode="0.00E+00">
                  <c:v>5.8680000000000003</c:v>
                </c:pt>
                <c:pt idx="153" formatCode="0.00E+00">
                  <c:v>5.3179999999999996</c:v>
                </c:pt>
                <c:pt idx="154" formatCode="0.00E+00">
                  <c:v>4.7</c:v>
                </c:pt>
                <c:pt idx="155" formatCode="0.00E+00">
                  <c:v>4.0579999999999998</c:v>
                </c:pt>
                <c:pt idx="156" formatCode="0.00E+00">
                  <c:v>3.4260000000000002</c:v>
                </c:pt>
                <c:pt idx="157" formatCode="0.00E+00">
                  <c:v>2.8279999999999998</c:v>
                </c:pt>
                <c:pt idx="158" formatCode="0.00E+00">
                  <c:v>2.2839999999999998</c:v>
                </c:pt>
                <c:pt idx="159" formatCode="0.00E+00">
                  <c:v>1.806</c:v>
                </c:pt>
                <c:pt idx="160" formatCode="0.00E+00">
                  <c:v>1.405</c:v>
                </c:pt>
                <c:pt idx="161" formatCode="0.00E+00">
                  <c:v>1.0900000000000001</c:v>
                </c:pt>
                <c:pt idx="162" formatCode="0.00E+00">
                  <c:v>0.86709999999999998</c:v>
                </c:pt>
                <c:pt idx="163" formatCode="0.00E+00">
                  <c:v>0.74509999999999998</c:v>
                </c:pt>
                <c:pt idx="164" formatCode="0.00E+00">
                  <c:v>0.73229999999999995</c:v>
                </c:pt>
                <c:pt idx="165" formatCode="0.00E+00">
                  <c:v>0.83819999999999995</c:v>
                </c:pt>
                <c:pt idx="166" formatCode="0.00E+00">
                  <c:v>1.073</c:v>
                </c:pt>
                <c:pt idx="167" formatCode="0.00E+00">
                  <c:v>1.4490000000000001</c:v>
                </c:pt>
                <c:pt idx="168" formatCode="0.00E+00">
                  <c:v>1.9750000000000001</c:v>
                </c:pt>
                <c:pt idx="169" formatCode="0.00E+00">
                  <c:v>2.6549999999999998</c:v>
                </c:pt>
                <c:pt idx="170" formatCode="0.00E+00">
                  <c:v>3.472</c:v>
                </c:pt>
                <c:pt idx="171" formatCode="0.00E+00">
                  <c:v>4.359</c:v>
                </c:pt>
                <c:pt idx="172" formatCode="0.00E+00">
                  <c:v>5.149</c:v>
                </c:pt>
                <c:pt idx="173" formatCode="0.00E+00">
                  <c:v>5.5540000000000003</c:v>
                </c:pt>
                <c:pt idx="174" formatCode="0.00E+00">
                  <c:v>5.3029999999999999</c:v>
                </c:pt>
                <c:pt idx="175" formatCode="0.00E+00">
                  <c:v>4.4169999999999998</c:v>
                </c:pt>
                <c:pt idx="176" formatCode="0.00E+00">
                  <c:v>3.1909999999999998</c:v>
                </c:pt>
                <c:pt idx="177" formatCode="0.00E+00">
                  <c:v>1.9159999999999999</c:v>
                </c:pt>
                <c:pt idx="178" formatCode="0.00E+00">
                  <c:v>0.76019999999999999</c:v>
                </c:pt>
                <c:pt idx="179" formatCode="0.00E+00">
                  <c:v>-0.2034</c:v>
                </c:pt>
                <c:pt idx="180" formatCode="0.00E+00">
                  <c:v>-0.94430000000000003</c:v>
                </c:pt>
                <c:pt idx="181" formatCode="0.00E+00">
                  <c:v>-1.448</c:v>
                </c:pt>
                <c:pt idx="182" formatCode="0.00E+00">
                  <c:v>-1.702</c:v>
                </c:pt>
                <c:pt idx="183" formatCode="0.00E+00">
                  <c:v>-1.6879999999999999</c:v>
                </c:pt>
                <c:pt idx="184" formatCode="0.00E+00">
                  <c:v>-1.383</c:v>
                </c:pt>
                <c:pt idx="185" formatCode="0.00E+00">
                  <c:v>-0.75239999999999996</c:v>
                </c:pt>
                <c:pt idx="186" formatCode="0.00E+00">
                  <c:v>0.23710000000000001</c:v>
                </c:pt>
                <c:pt idx="187" formatCode="0.00E+00">
                  <c:v>1.58</c:v>
                </c:pt>
                <c:pt idx="188" formatCode="0.00E+00">
                  <c:v>3.0760000000000001</c:v>
                </c:pt>
                <c:pt idx="189" formatCode="0.00E+00">
                  <c:v>3.9950000000000001</c:v>
                </c:pt>
                <c:pt idx="190" formatCode="0.00E+00">
                  <c:v>3.3730000000000002</c:v>
                </c:pt>
                <c:pt idx="191" formatCode="0.00E+00">
                  <c:v>1.58</c:v>
                </c:pt>
                <c:pt idx="192" formatCode="0.00E+00">
                  <c:v>-0.34179999999999999</c:v>
                </c:pt>
                <c:pt idx="193" formatCode="0.00E+00">
                  <c:v>-1.917</c:v>
                </c:pt>
                <c:pt idx="194" formatCode="0.00E+00">
                  <c:v>-3.036</c:v>
                </c:pt>
                <c:pt idx="195" formatCode="0.00E+00">
                  <c:v>-3.6819999999999999</c:v>
                </c:pt>
                <c:pt idx="196" formatCode="0.00E+00">
                  <c:v>-3.8420000000000001</c:v>
                </c:pt>
                <c:pt idx="197" formatCode="0.00E+00">
                  <c:v>-3.48</c:v>
                </c:pt>
                <c:pt idx="198" formatCode="0.00E+00">
                  <c:v>-2.5259999999999998</c:v>
                </c:pt>
                <c:pt idx="199" formatCode="0.00E+00">
                  <c:v>-0.90720000000000001</c:v>
                </c:pt>
                <c:pt idx="200" formatCode="0.00E+00">
                  <c:v>1.2170000000000001</c:v>
                </c:pt>
              </c:numCache>
            </c:numRef>
          </c:yVal>
          <c:smooth val="0"/>
          <c:extLst>
            <c:ext xmlns:c16="http://schemas.microsoft.com/office/drawing/2014/chart" uri="{C3380CC4-5D6E-409C-BE32-E72D297353CC}">
              <c16:uniqueId val="{00000001-C724-4190-B18B-8D580C7EFE86}"/>
            </c:ext>
          </c:extLst>
        </c:ser>
        <c:dLbls>
          <c:showLegendKey val="0"/>
          <c:showVal val="0"/>
          <c:showCatName val="0"/>
          <c:showSerName val="0"/>
          <c:showPercent val="0"/>
          <c:showBubbleSize val="0"/>
        </c:dLbls>
        <c:axId val="905589871"/>
        <c:axId val="1"/>
      </c:scatterChart>
      <c:valAx>
        <c:axId val="905589871"/>
        <c:scaling>
          <c:logBase val="10"/>
          <c:orientation val="minMax"/>
          <c:max val="10000000000"/>
          <c:min val="100000000"/>
        </c:scaling>
        <c:delete val="0"/>
        <c:axPos val="b"/>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Frequency [Hz]</a:t>
                </a:r>
              </a:p>
            </c:rich>
          </c:tx>
          <c:layout>
            <c:manualLayout>
              <c:xMode val="edge"/>
              <c:yMode val="edge"/>
              <c:x val="0.41537740819637653"/>
              <c:y val="0.9255405599323705"/>
            </c:manualLayout>
          </c:layout>
          <c:overlay val="0"/>
          <c:spPr>
            <a:noFill/>
            <a:ln w="25400">
              <a:noFill/>
            </a:ln>
          </c:spPr>
        </c:title>
        <c:numFmt formatCode="0.0E+00" sourceLinked="0"/>
        <c:majorTickMark val="out"/>
        <c:minorTickMark val="none"/>
        <c:tickLblPos val="low"/>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05589871"/>
        <c:crosses val="autoZero"/>
        <c:crossBetween val="midCat"/>
      </c:valAx>
      <c:spPr>
        <a:solidFill>
          <a:srgbClr val="FFFFFF"/>
        </a:solidFill>
        <a:ln w="12700">
          <a:solidFill>
            <a:srgbClr val="808080"/>
          </a:solidFill>
          <a:prstDash val="solid"/>
        </a:ln>
      </c:spPr>
    </c:plotArea>
    <c:legend>
      <c:legendPos val="r"/>
      <c:layout>
        <c:manualLayout>
          <c:xMode val="edge"/>
          <c:yMode val="edge"/>
          <c:x val="0.7526274041928076"/>
          <c:y val="0.7318660765662407"/>
          <c:w val="0.182297295133206"/>
          <c:h val="0.12104655210383115"/>
        </c:manualLayout>
      </c:layout>
      <c:overlay val="0"/>
      <c:spPr>
        <a:solidFill>
          <a:srgbClr val="FFFFFF"/>
        </a:solidFill>
        <a:ln w="25400">
          <a:noFill/>
        </a:ln>
      </c:spPr>
      <c:txPr>
        <a:bodyPr/>
        <a:lstStyle/>
        <a:p>
          <a:pPr>
            <a:defRPr sz="87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S parameters magn. (S21, S12 left, S11, S22 right) [dB]</a:t>
            </a:r>
          </a:p>
        </c:rich>
      </c:tx>
      <c:layout>
        <c:manualLayout>
          <c:xMode val="edge"/>
          <c:yMode val="edge"/>
          <c:x val="0.1100609704969378"/>
          <c:y val="2.9259533804508478E-2"/>
        </c:manualLayout>
      </c:layout>
      <c:overlay val="0"/>
      <c:spPr>
        <a:solidFill>
          <a:srgbClr val="FFFFFF"/>
        </a:solidFill>
        <a:ln w="25400">
          <a:noFill/>
        </a:ln>
      </c:spPr>
    </c:title>
    <c:autoTitleDeleted val="0"/>
    <c:plotArea>
      <c:layout>
        <c:manualLayout>
          <c:layoutTarget val="inner"/>
          <c:xMode val="edge"/>
          <c:yMode val="edge"/>
          <c:x val="7.1897785336456577E-2"/>
          <c:y val="0.1335849254028306"/>
          <c:w val="0.86669512141946747"/>
          <c:h val="0.71987432022636488"/>
        </c:manualLayout>
      </c:layout>
      <c:scatterChart>
        <c:scatterStyle val="lineMarker"/>
        <c:varyColors val="0"/>
        <c:ser>
          <c:idx val="1"/>
          <c:order val="1"/>
          <c:tx>
            <c:strRef>
              <c:f>'Input-data'!$Q$57</c:f>
              <c:strCache>
                <c:ptCount val="1"/>
                <c:pt idx="0">
                  <c:v>S12</c:v>
                </c:pt>
              </c:strCache>
            </c:strRef>
          </c:tx>
          <c:spPr>
            <a:ln w="25400">
              <a:solidFill>
                <a:srgbClr val="008000"/>
              </a:solidFill>
              <a:prstDash val="solid"/>
            </a:ln>
          </c:spPr>
          <c:marker>
            <c:symbol val="none"/>
          </c:marker>
          <c:xVal>
            <c:numRef>
              <c:f>'Input-data'!$B$60:$B$260</c:f>
              <c:numCache>
                <c:formatCode>0.00E+00</c:formatCode>
                <c:ptCount val="201"/>
                <c:pt idx="0">
                  <c:v>100000000</c:v>
                </c:pt>
                <c:pt idx="1">
                  <c:v>102300000</c:v>
                </c:pt>
                <c:pt idx="2">
                  <c:v>104700000</c:v>
                </c:pt>
                <c:pt idx="3">
                  <c:v>107200000</c:v>
                </c:pt>
                <c:pt idx="4">
                  <c:v>109600000</c:v>
                </c:pt>
                <c:pt idx="5">
                  <c:v>112200000</c:v>
                </c:pt>
                <c:pt idx="6">
                  <c:v>114800000</c:v>
                </c:pt>
                <c:pt idx="7">
                  <c:v>117500000</c:v>
                </c:pt>
                <c:pt idx="8">
                  <c:v>120200000</c:v>
                </c:pt>
                <c:pt idx="9">
                  <c:v>123000000</c:v>
                </c:pt>
                <c:pt idx="10">
                  <c:v>125900000</c:v>
                </c:pt>
                <c:pt idx="11">
                  <c:v>128800000</c:v>
                </c:pt>
                <c:pt idx="12">
                  <c:v>131800000</c:v>
                </c:pt>
                <c:pt idx="13">
                  <c:v>134900000</c:v>
                </c:pt>
                <c:pt idx="14">
                  <c:v>138000000</c:v>
                </c:pt>
                <c:pt idx="15">
                  <c:v>141300000</c:v>
                </c:pt>
                <c:pt idx="16">
                  <c:v>144500000</c:v>
                </c:pt>
                <c:pt idx="17">
                  <c:v>147900000</c:v>
                </c:pt>
                <c:pt idx="18">
                  <c:v>151400000</c:v>
                </c:pt>
                <c:pt idx="19">
                  <c:v>154900000</c:v>
                </c:pt>
                <c:pt idx="20">
                  <c:v>158500000</c:v>
                </c:pt>
                <c:pt idx="21">
                  <c:v>162200000</c:v>
                </c:pt>
                <c:pt idx="22">
                  <c:v>166000000</c:v>
                </c:pt>
                <c:pt idx="23">
                  <c:v>169800000</c:v>
                </c:pt>
                <c:pt idx="24">
                  <c:v>173800000</c:v>
                </c:pt>
                <c:pt idx="25">
                  <c:v>177800000</c:v>
                </c:pt>
                <c:pt idx="26">
                  <c:v>182000000</c:v>
                </c:pt>
                <c:pt idx="27">
                  <c:v>186200000</c:v>
                </c:pt>
                <c:pt idx="28">
                  <c:v>190500000</c:v>
                </c:pt>
                <c:pt idx="29">
                  <c:v>195000000</c:v>
                </c:pt>
                <c:pt idx="30">
                  <c:v>199500000</c:v>
                </c:pt>
                <c:pt idx="31">
                  <c:v>204200000</c:v>
                </c:pt>
                <c:pt idx="32">
                  <c:v>208900000</c:v>
                </c:pt>
                <c:pt idx="33">
                  <c:v>213800000</c:v>
                </c:pt>
                <c:pt idx="34">
                  <c:v>218800000</c:v>
                </c:pt>
                <c:pt idx="35">
                  <c:v>223900000</c:v>
                </c:pt>
                <c:pt idx="36">
                  <c:v>229100000</c:v>
                </c:pt>
                <c:pt idx="37">
                  <c:v>234400000</c:v>
                </c:pt>
                <c:pt idx="38">
                  <c:v>239900000</c:v>
                </c:pt>
                <c:pt idx="39">
                  <c:v>245500000</c:v>
                </c:pt>
                <c:pt idx="40">
                  <c:v>251200000</c:v>
                </c:pt>
                <c:pt idx="41">
                  <c:v>257000000</c:v>
                </c:pt>
                <c:pt idx="42">
                  <c:v>263000000</c:v>
                </c:pt>
                <c:pt idx="43">
                  <c:v>269200000</c:v>
                </c:pt>
                <c:pt idx="44">
                  <c:v>275400000</c:v>
                </c:pt>
                <c:pt idx="45">
                  <c:v>281800000</c:v>
                </c:pt>
                <c:pt idx="46">
                  <c:v>288400000</c:v>
                </c:pt>
                <c:pt idx="47">
                  <c:v>295100000</c:v>
                </c:pt>
                <c:pt idx="48">
                  <c:v>302000000</c:v>
                </c:pt>
                <c:pt idx="49">
                  <c:v>309000000</c:v>
                </c:pt>
                <c:pt idx="50">
                  <c:v>316200000</c:v>
                </c:pt>
                <c:pt idx="51">
                  <c:v>323600000</c:v>
                </c:pt>
                <c:pt idx="52">
                  <c:v>331100000</c:v>
                </c:pt>
                <c:pt idx="53">
                  <c:v>338800000</c:v>
                </c:pt>
                <c:pt idx="54">
                  <c:v>346700000</c:v>
                </c:pt>
                <c:pt idx="55">
                  <c:v>354800000</c:v>
                </c:pt>
                <c:pt idx="56">
                  <c:v>363100000</c:v>
                </c:pt>
                <c:pt idx="57">
                  <c:v>371500000</c:v>
                </c:pt>
                <c:pt idx="58">
                  <c:v>380200000</c:v>
                </c:pt>
                <c:pt idx="59">
                  <c:v>389000000</c:v>
                </c:pt>
                <c:pt idx="60">
                  <c:v>398100000</c:v>
                </c:pt>
                <c:pt idx="61">
                  <c:v>407400000</c:v>
                </c:pt>
                <c:pt idx="62">
                  <c:v>416900000</c:v>
                </c:pt>
                <c:pt idx="63">
                  <c:v>426600000</c:v>
                </c:pt>
                <c:pt idx="64">
                  <c:v>436500000</c:v>
                </c:pt>
                <c:pt idx="65">
                  <c:v>446700000</c:v>
                </c:pt>
                <c:pt idx="66">
                  <c:v>457100000</c:v>
                </c:pt>
                <c:pt idx="67">
                  <c:v>467700000</c:v>
                </c:pt>
                <c:pt idx="68">
                  <c:v>478600000</c:v>
                </c:pt>
                <c:pt idx="69">
                  <c:v>489800000</c:v>
                </c:pt>
                <c:pt idx="70">
                  <c:v>501200000</c:v>
                </c:pt>
                <c:pt idx="71">
                  <c:v>512900000</c:v>
                </c:pt>
                <c:pt idx="72">
                  <c:v>524800000</c:v>
                </c:pt>
                <c:pt idx="73">
                  <c:v>537000000</c:v>
                </c:pt>
                <c:pt idx="74">
                  <c:v>549500000</c:v>
                </c:pt>
                <c:pt idx="75">
                  <c:v>562300000</c:v>
                </c:pt>
                <c:pt idx="76">
                  <c:v>575400000</c:v>
                </c:pt>
                <c:pt idx="77">
                  <c:v>588800000</c:v>
                </c:pt>
                <c:pt idx="78">
                  <c:v>602600000</c:v>
                </c:pt>
                <c:pt idx="79">
                  <c:v>616600000</c:v>
                </c:pt>
                <c:pt idx="80">
                  <c:v>631000000</c:v>
                </c:pt>
                <c:pt idx="81">
                  <c:v>645700000</c:v>
                </c:pt>
                <c:pt idx="82">
                  <c:v>660700000</c:v>
                </c:pt>
                <c:pt idx="83">
                  <c:v>676100000</c:v>
                </c:pt>
                <c:pt idx="84">
                  <c:v>691800000</c:v>
                </c:pt>
                <c:pt idx="85">
                  <c:v>707900000</c:v>
                </c:pt>
                <c:pt idx="86">
                  <c:v>724400000</c:v>
                </c:pt>
                <c:pt idx="87">
                  <c:v>741300000</c:v>
                </c:pt>
                <c:pt idx="88">
                  <c:v>758600000</c:v>
                </c:pt>
                <c:pt idx="89">
                  <c:v>776200000</c:v>
                </c:pt>
                <c:pt idx="90">
                  <c:v>794300000</c:v>
                </c:pt>
                <c:pt idx="91">
                  <c:v>812800000</c:v>
                </c:pt>
                <c:pt idx="92">
                  <c:v>831800000</c:v>
                </c:pt>
                <c:pt idx="93">
                  <c:v>851100000</c:v>
                </c:pt>
                <c:pt idx="94">
                  <c:v>871000000</c:v>
                </c:pt>
                <c:pt idx="95">
                  <c:v>891300000</c:v>
                </c:pt>
                <c:pt idx="96">
                  <c:v>912000000</c:v>
                </c:pt>
                <c:pt idx="97">
                  <c:v>933300000</c:v>
                </c:pt>
                <c:pt idx="98">
                  <c:v>955000000</c:v>
                </c:pt>
                <c:pt idx="99">
                  <c:v>977200000</c:v>
                </c:pt>
                <c:pt idx="100">
                  <c:v>1000000000</c:v>
                </c:pt>
                <c:pt idx="101">
                  <c:v>1023000000</c:v>
                </c:pt>
                <c:pt idx="102">
                  <c:v>1047000000</c:v>
                </c:pt>
                <c:pt idx="103">
                  <c:v>1072000000</c:v>
                </c:pt>
                <c:pt idx="104">
                  <c:v>1096000000</c:v>
                </c:pt>
                <c:pt idx="105">
                  <c:v>1122000000</c:v>
                </c:pt>
                <c:pt idx="106">
                  <c:v>1148000000</c:v>
                </c:pt>
                <c:pt idx="107">
                  <c:v>1175000000</c:v>
                </c:pt>
                <c:pt idx="108">
                  <c:v>1202000000</c:v>
                </c:pt>
                <c:pt idx="109">
                  <c:v>1230000000</c:v>
                </c:pt>
                <c:pt idx="110">
                  <c:v>1259000000</c:v>
                </c:pt>
                <c:pt idx="111">
                  <c:v>1288000000</c:v>
                </c:pt>
                <c:pt idx="112">
                  <c:v>1318000000</c:v>
                </c:pt>
                <c:pt idx="113">
                  <c:v>1349000000</c:v>
                </c:pt>
                <c:pt idx="114">
                  <c:v>1380000000</c:v>
                </c:pt>
                <c:pt idx="115">
                  <c:v>1413000000</c:v>
                </c:pt>
                <c:pt idx="116">
                  <c:v>1445000000</c:v>
                </c:pt>
                <c:pt idx="117">
                  <c:v>1479000000</c:v>
                </c:pt>
                <c:pt idx="118">
                  <c:v>1514000000</c:v>
                </c:pt>
                <c:pt idx="119">
                  <c:v>1549000000</c:v>
                </c:pt>
                <c:pt idx="120">
                  <c:v>1585000000</c:v>
                </c:pt>
                <c:pt idx="121">
                  <c:v>1622000000</c:v>
                </c:pt>
                <c:pt idx="122">
                  <c:v>1660000000</c:v>
                </c:pt>
                <c:pt idx="123">
                  <c:v>1698000000</c:v>
                </c:pt>
                <c:pt idx="124">
                  <c:v>1738000000</c:v>
                </c:pt>
                <c:pt idx="125">
                  <c:v>1778000000</c:v>
                </c:pt>
                <c:pt idx="126">
                  <c:v>1820000000</c:v>
                </c:pt>
                <c:pt idx="127">
                  <c:v>1862000000</c:v>
                </c:pt>
                <c:pt idx="128">
                  <c:v>1905000000</c:v>
                </c:pt>
                <c:pt idx="129">
                  <c:v>1950000000</c:v>
                </c:pt>
                <c:pt idx="130">
                  <c:v>1995000000</c:v>
                </c:pt>
                <c:pt idx="131">
                  <c:v>2042000000</c:v>
                </c:pt>
                <c:pt idx="132">
                  <c:v>2089000000</c:v>
                </c:pt>
                <c:pt idx="133">
                  <c:v>2138000000</c:v>
                </c:pt>
                <c:pt idx="134">
                  <c:v>2188000000</c:v>
                </c:pt>
                <c:pt idx="135">
                  <c:v>2239000000</c:v>
                </c:pt>
                <c:pt idx="136">
                  <c:v>2291000000</c:v>
                </c:pt>
                <c:pt idx="137">
                  <c:v>2344000000</c:v>
                </c:pt>
                <c:pt idx="138">
                  <c:v>2399000000</c:v>
                </c:pt>
                <c:pt idx="139">
                  <c:v>2455000000</c:v>
                </c:pt>
                <c:pt idx="140">
                  <c:v>2512000000</c:v>
                </c:pt>
                <c:pt idx="141">
                  <c:v>2570000000</c:v>
                </c:pt>
                <c:pt idx="142">
                  <c:v>2630000000</c:v>
                </c:pt>
                <c:pt idx="143">
                  <c:v>2692000000</c:v>
                </c:pt>
                <c:pt idx="144">
                  <c:v>2754000000</c:v>
                </c:pt>
                <c:pt idx="145">
                  <c:v>2818000000</c:v>
                </c:pt>
                <c:pt idx="146">
                  <c:v>2884000000</c:v>
                </c:pt>
                <c:pt idx="147">
                  <c:v>2951000000</c:v>
                </c:pt>
                <c:pt idx="148">
                  <c:v>3020000000</c:v>
                </c:pt>
                <c:pt idx="149">
                  <c:v>3090000000</c:v>
                </c:pt>
                <c:pt idx="150">
                  <c:v>3162000000</c:v>
                </c:pt>
                <c:pt idx="151">
                  <c:v>3236000000</c:v>
                </c:pt>
                <c:pt idx="152">
                  <c:v>3311000000</c:v>
                </c:pt>
                <c:pt idx="153">
                  <c:v>3388000000</c:v>
                </c:pt>
                <c:pt idx="154">
                  <c:v>3467000000</c:v>
                </c:pt>
                <c:pt idx="155">
                  <c:v>3548000000</c:v>
                </c:pt>
                <c:pt idx="156">
                  <c:v>3631000000</c:v>
                </c:pt>
                <c:pt idx="157">
                  <c:v>3715000000</c:v>
                </c:pt>
                <c:pt idx="158">
                  <c:v>3802000000</c:v>
                </c:pt>
                <c:pt idx="159">
                  <c:v>3890000000</c:v>
                </c:pt>
                <c:pt idx="160">
                  <c:v>3981000000</c:v>
                </c:pt>
                <c:pt idx="161">
                  <c:v>4074000000</c:v>
                </c:pt>
                <c:pt idx="162">
                  <c:v>4169000000</c:v>
                </c:pt>
                <c:pt idx="163">
                  <c:v>4266000000</c:v>
                </c:pt>
                <c:pt idx="164">
                  <c:v>4365000000</c:v>
                </c:pt>
                <c:pt idx="165">
                  <c:v>4467000000</c:v>
                </c:pt>
                <c:pt idx="166">
                  <c:v>4571000000</c:v>
                </c:pt>
                <c:pt idx="167">
                  <c:v>4677000000</c:v>
                </c:pt>
                <c:pt idx="168">
                  <c:v>4786000000</c:v>
                </c:pt>
                <c:pt idx="169">
                  <c:v>4898000000</c:v>
                </c:pt>
                <c:pt idx="170">
                  <c:v>5012000000</c:v>
                </c:pt>
                <c:pt idx="171">
                  <c:v>5129000000</c:v>
                </c:pt>
                <c:pt idx="172">
                  <c:v>5248000000</c:v>
                </c:pt>
                <c:pt idx="173">
                  <c:v>5370000000</c:v>
                </c:pt>
                <c:pt idx="174">
                  <c:v>5495000000</c:v>
                </c:pt>
                <c:pt idx="175">
                  <c:v>5623000000</c:v>
                </c:pt>
                <c:pt idx="176">
                  <c:v>5754000000</c:v>
                </c:pt>
                <c:pt idx="177">
                  <c:v>5888000000</c:v>
                </c:pt>
                <c:pt idx="178">
                  <c:v>6026000000</c:v>
                </c:pt>
                <c:pt idx="179">
                  <c:v>6166000000</c:v>
                </c:pt>
                <c:pt idx="180">
                  <c:v>6310000000</c:v>
                </c:pt>
                <c:pt idx="181">
                  <c:v>6457000000</c:v>
                </c:pt>
                <c:pt idx="182">
                  <c:v>6607000000</c:v>
                </c:pt>
                <c:pt idx="183">
                  <c:v>6761000000</c:v>
                </c:pt>
                <c:pt idx="184">
                  <c:v>6918000000</c:v>
                </c:pt>
                <c:pt idx="185">
                  <c:v>7079000000</c:v>
                </c:pt>
                <c:pt idx="186">
                  <c:v>7244000000</c:v>
                </c:pt>
                <c:pt idx="187">
                  <c:v>7413000000</c:v>
                </c:pt>
                <c:pt idx="188">
                  <c:v>7586000000</c:v>
                </c:pt>
                <c:pt idx="189">
                  <c:v>7762000000</c:v>
                </c:pt>
                <c:pt idx="190">
                  <c:v>7943000000</c:v>
                </c:pt>
                <c:pt idx="191">
                  <c:v>8128000000</c:v>
                </c:pt>
                <c:pt idx="192">
                  <c:v>8318000000</c:v>
                </c:pt>
                <c:pt idx="193">
                  <c:v>8511000000</c:v>
                </c:pt>
                <c:pt idx="194">
                  <c:v>8710000000</c:v>
                </c:pt>
                <c:pt idx="195">
                  <c:v>8913000000</c:v>
                </c:pt>
                <c:pt idx="196">
                  <c:v>9120000000</c:v>
                </c:pt>
                <c:pt idx="197">
                  <c:v>9333000000</c:v>
                </c:pt>
                <c:pt idx="198">
                  <c:v>9550000000</c:v>
                </c:pt>
                <c:pt idx="199">
                  <c:v>9772000000</c:v>
                </c:pt>
                <c:pt idx="200">
                  <c:v>10000000000</c:v>
                </c:pt>
              </c:numCache>
            </c:numRef>
          </c:xVal>
          <c:yVal>
            <c:numRef>
              <c:f>'Input-data'!$Q$60:$Q$260</c:f>
              <c:numCache>
                <c:formatCode>0.0E+00</c:formatCode>
                <c:ptCount val="201"/>
                <c:pt idx="0">
                  <c:v>-1.0740000000000001E-3</c:v>
                </c:pt>
                <c:pt idx="1">
                  <c:v>-1.124E-3</c:v>
                </c:pt>
                <c:pt idx="2">
                  <c:v>-1.178E-3</c:v>
                </c:pt>
                <c:pt idx="3">
                  <c:v>-1.2329999999999999E-3</c:v>
                </c:pt>
                <c:pt idx="4">
                  <c:v>-1.291E-3</c:v>
                </c:pt>
                <c:pt idx="5">
                  <c:v>-1.3519999999999999E-3</c:v>
                </c:pt>
                <c:pt idx="6">
                  <c:v>-1.4159999999999999E-3</c:v>
                </c:pt>
                <c:pt idx="7">
                  <c:v>-1.482E-3</c:v>
                </c:pt>
                <c:pt idx="8">
                  <c:v>-1.552E-3</c:v>
                </c:pt>
                <c:pt idx="9">
                  <c:v>-1.6249999999999999E-3</c:v>
                </c:pt>
                <c:pt idx="10">
                  <c:v>-1.702E-3</c:v>
                </c:pt>
                <c:pt idx="11">
                  <c:v>-1.7819999999999999E-3</c:v>
                </c:pt>
                <c:pt idx="12">
                  <c:v>-1.866E-3</c:v>
                </c:pt>
                <c:pt idx="13">
                  <c:v>-1.9530000000000001E-3</c:v>
                </c:pt>
                <c:pt idx="14">
                  <c:v>-2.0460000000000001E-3</c:v>
                </c:pt>
                <c:pt idx="15">
                  <c:v>-2.1419999999999998E-3</c:v>
                </c:pt>
                <c:pt idx="16">
                  <c:v>-2.2430000000000002E-3</c:v>
                </c:pt>
                <c:pt idx="17">
                  <c:v>-2.3479999999999998E-3</c:v>
                </c:pt>
                <c:pt idx="18">
                  <c:v>-2.4589999999999998E-3</c:v>
                </c:pt>
                <c:pt idx="19">
                  <c:v>-2.575E-3</c:v>
                </c:pt>
                <c:pt idx="20">
                  <c:v>-2.696E-3</c:v>
                </c:pt>
                <c:pt idx="21">
                  <c:v>-2.823E-3</c:v>
                </c:pt>
                <c:pt idx="22">
                  <c:v>-2.9559999999999999E-3</c:v>
                </c:pt>
                <c:pt idx="23">
                  <c:v>-3.0950000000000001E-3</c:v>
                </c:pt>
                <c:pt idx="24">
                  <c:v>-3.241E-3</c:v>
                </c:pt>
                <c:pt idx="25">
                  <c:v>-3.3939999999999999E-3</c:v>
                </c:pt>
                <c:pt idx="26">
                  <c:v>-3.5530000000000002E-3</c:v>
                </c:pt>
                <c:pt idx="27">
                  <c:v>-3.7209999999999999E-3</c:v>
                </c:pt>
                <c:pt idx="28">
                  <c:v>-3.8960000000000002E-3</c:v>
                </c:pt>
                <c:pt idx="29">
                  <c:v>-4.0790000000000002E-3</c:v>
                </c:pt>
                <c:pt idx="30">
                  <c:v>-4.2719999999999998E-3</c:v>
                </c:pt>
                <c:pt idx="31">
                  <c:v>-4.4730000000000004E-3</c:v>
                </c:pt>
                <c:pt idx="32">
                  <c:v>-4.6829999999999997E-3</c:v>
                </c:pt>
                <c:pt idx="33">
                  <c:v>-4.9040000000000004E-3</c:v>
                </c:pt>
                <c:pt idx="34">
                  <c:v>-5.1349999999999998E-3</c:v>
                </c:pt>
                <c:pt idx="35">
                  <c:v>-5.3769999999999998E-3</c:v>
                </c:pt>
                <c:pt idx="36">
                  <c:v>-5.6299999999999996E-3</c:v>
                </c:pt>
                <c:pt idx="37">
                  <c:v>-5.8950000000000001E-3</c:v>
                </c:pt>
                <c:pt idx="38">
                  <c:v>-6.1720000000000004E-3</c:v>
                </c:pt>
                <c:pt idx="39">
                  <c:v>-6.463E-3</c:v>
                </c:pt>
                <c:pt idx="40">
                  <c:v>-6.7669999999999996E-3</c:v>
                </c:pt>
                <c:pt idx="41">
                  <c:v>-7.0850000000000002E-3</c:v>
                </c:pt>
                <c:pt idx="42">
                  <c:v>-7.4190000000000002E-3</c:v>
                </c:pt>
                <c:pt idx="43">
                  <c:v>-7.7679999999999997E-3</c:v>
                </c:pt>
                <c:pt idx="44">
                  <c:v>-8.1329999999999996E-3</c:v>
                </c:pt>
                <c:pt idx="45">
                  <c:v>-8.5159999999999993E-3</c:v>
                </c:pt>
                <c:pt idx="46">
                  <c:v>-8.9169999999999996E-3</c:v>
                </c:pt>
                <c:pt idx="47">
                  <c:v>-9.3369999999999998E-3</c:v>
                </c:pt>
                <c:pt idx="48">
                  <c:v>-9.776E-3</c:v>
                </c:pt>
                <c:pt idx="49">
                  <c:v>-1.0240000000000001E-2</c:v>
                </c:pt>
                <c:pt idx="50">
                  <c:v>-1.072E-2</c:v>
                </c:pt>
                <c:pt idx="51">
                  <c:v>-1.1220000000000001E-2</c:v>
                </c:pt>
                <c:pt idx="52">
                  <c:v>-1.175E-2</c:v>
                </c:pt>
                <c:pt idx="53">
                  <c:v>-1.23E-2</c:v>
                </c:pt>
                <c:pt idx="54">
                  <c:v>-1.2880000000000001E-2</c:v>
                </c:pt>
                <c:pt idx="55">
                  <c:v>-1.349E-2</c:v>
                </c:pt>
                <c:pt idx="56">
                  <c:v>-1.4120000000000001E-2</c:v>
                </c:pt>
                <c:pt idx="57">
                  <c:v>-1.478E-2</c:v>
                </c:pt>
                <c:pt idx="58">
                  <c:v>-1.5480000000000001E-2</c:v>
                </c:pt>
                <c:pt idx="59">
                  <c:v>-1.6209999999999999E-2</c:v>
                </c:pt>
                <c:pt idx="60">
                  <c:v>-1.6969999999999999E-2</c:v>
                </c:pt>
                <c:pt idx="61">
                  <c:v>-1.7760000000000001E-2</c:v>
                </c:pt>
                <c:pt idx="62">
                  <c:v>-1.8599999999999998E-2</c:v>
                </c:pt>
                <c:pt idx="63">
                  <c:v>-1.9470000000000001E-2</c:v>
                </c:pt>
                <c:pt idx="64">
                  <c:v>-2.0389999999999998E-2</c:v>
                </c:pt>
                <c:pt idx="65">
                  <c:v>-2.1340000000000001E-2</c:v>
                </c:pt>
                <c:pt idx="66">
                  <c:v>-2.2349999999999998E-2</c:v>
                </c:pt>
                <c:pt idx="67">
                  <c:v>-2.3400000000000001E-2</c:v>
                </c:pt>
                <c:pt idx="68">
                  <c:v>-2.4490000000000001E-2</c:v>
                </c:pt>
                <c:pt idx="69">
                  <c:v>-2.564E-2</c:v>
                </c:pt>
                <c:pt idx="70">
                  <c:v>-2.6849999999999999E-2</c:v>
                </c:pt>
                <c:pt idx="71">
                  <c:v>-2.811E-2</c:v>
                </c:pt>
                <c:pt idx="72">
                  <c:v>-2.9420000000000002E-2</c:v>
                </c:pt>
                <c:pt idx="73">
                  <c:v>-3.0800000000000001E-2</c:v>
                </c:pt>
                <c:pt idx="74">
                  <c:v>-3.2250000000000001E-2</c:v>
                </c:pt>
                <c:pt idx="75">
                  <c:v>-3.3759999999999998E-2</c:v>
                </c:pt>
                <c:pt idx="76">
                  <c:v>-3.5340000000000003E-2</c:v>
                </c:pt>
                <c:pt idx="77">
                  <c:v>-3.6999999999999998E-2</c:v>
                </c:pt>
                <c:pt idx="78">
                  <c:v>-3.8730000000000001E-2</c:v>
                </c:pt>
                <c:pt idx="79">
                  <c:v>-4.054E-2</c:v>
                </c:pt>
                <c:pt idx="80">
                  <c:v>-4.2439999999999999E-2</c:v>
                </c:pt>
                <c:pt idx="81">
                  <c:v>-4.4429999999999997E-2</c:v>
                </c:pt>
                <c:pt idx="82">
                  <c:v>-4.6510000000000003E-2</c:v>
                </c:pt>
                <c:pt idx="83">
                  <c:v>-4.8680000000000001E-2</c:v>
                </c:pt>
                <c:pt idx="84">
                  <c:v>-5.0959999999999998E-2</c:v>
                </c:pt>
                <c:pt idx="85">
                  <c:v>-5.3339999999999999E-2</c:v>
                </c:pt>
                <c:pt idx="86">
                  <c:v>-5.5840000000000001E-2</c:v>
                </c:pt>
                <c:pt idx="87">
                  <c:v>-5.8450000000000002E-2</c:v>
                </c:pt>
                <c:pt idx="88">
                  <c:v>-6.1179999999999998E-2</c:v>
                </c:pt>
                <c:pt idx="89">
                  <c:v>-6.4030000000000004E-2</c:v>
                </c:pt>
                <c:pt idx="90">
                  <c:v>-6.7019999999999996E-2</c:v>
                </c:pt>
                <c:pt idx="91">
                  <c:v>-7.0150000000000004E-2</c:v>
                </c:pt>
                <c:pt idx="92">
                  <c:v>-7.3419999999999999E-2</c:v>
                </c:pt>
                <c:pt idx="93">
                  <c:v>-7.6840000000000006E-2</c:v>
                </c:pt>
                <c:pt idx="94">
                  <c:v>-8.0430000000000001E-2</c:v>
                </c:pt>
                <c:pt idx="95">
                  <c:v>-8.4169999999999995E-2</c:v>
                </c:pt>
                <c:pt idx="96">
                  <c:v>-8.8090000000000002E-2</c:v>
                </c:pt>
                <c:pt idx="97">
                  <c:v>-9.2200000000000004E-2</c:v>
                </c:pt>
                <c:pt idx="98">
                  <c:v>-9.6490000000000006E-2</c:v>
                </c:pt>
                <c:pt idx="99">
                  <c:v>-0.10100000000000001</c:v>
                </c:pt>
                <c:pt idx="100">
                  <c:v>-0.1057</c:v>
                </c:pt>
                <c:pt idx="101">
                  <c:v>-0.1106</c:v>
                </c:pt>
                <c:pt idx="102">
                  <c:v>-0.1157</c:v>
                </c:pt>
                <c:pt idx="103">
                  <c:v>-0.1211</c:v>
                </c:pt>
                <c:pt idx="104">
                  <c:v>-0.12670000000000001</c:v>
                </c:pt>
                <c:pt idx="105">
                  <c:v>-0.1326</c:v>
                </c:pt>
                <c:pt idx="106">
                  <c:v>-0.13869999999999999</c:v>
                </c:pt>
                <c:pt idx="107">
                  <c:v>-0.1452</c:v>
                </c:pt>
                <c:pt idx="108">
                  <c:v>-0.15190000000000001</c:v>
                </c:pt>
                <c:pt idx="109">
                  <c:v>-0.15890000000000001</c:v>
                </c:pt>
                <c:pt idx="110">
                  <c:v>-0.1663</c:v>
                </c:pt>
                <c:pt idx="111">
                  <c:v>-0.17399999999999999</c:v>
                </c:pt>
                <c:pt idx="112">
                  <c:v>-0.182</c:v>
                </c:pt>
                <c:pt idx="113">
                  <c:v>-0.19040000000000001</c:v>
                </c:pt>
                <c:pt idx="114">
                  <c:v>-0.19919999999999999</c:v>
                </c:pt>
                <c:pt idx="115">
                  <c:v>-0.2084</c:v>
                </c:pt>
                <c:pt idx="116">
                  <c:v>-0.218</c:v>
                </c:pt>
                <c:pt idx="117">
                  <c:v>-0.22800000000000001</c:v>
                </c:pt>
                <c:pt idx="118">
                  <c:v>-0.23849999999999999</c:v>
                </c:pt>
                <c:pt idx="119">
                  <c:v>-0.2495</c:v>
                </c:pt>
                <c:pt idx="120">
                  <c:v>-0.26090000000000002</c:v>
                </c:pt>
                <c:pt idx="121" formatCode="0.00E+00">
                  <c:v>-0.27289999999999998</c:v>
                </c:pt>
                <c:pt idx="122" formatCode="0.00E+00">
                  <c:v>-0.28539999999999999</c:v>
                </c:pt>
                <c:pt idx="123" formatCode="0.00E+00">
                  <c:v>-0.2984</c:v>
                </c:pt>
                <c:pt idx="124" formatCode="0.00E+00">
                  <c:v>-0.31209999999999999</c:v>
                </c:pt>
                <c:pt idx="125" formatCode="0.00E+00">
                  <c:v>-0.32629999999999998</c:v>
                </c:pt>
                <c:pt idx="126" formatCode="0.00E+00">
                  <c:v>-0.3412</c:v>
                </c:pt>
                <c:pt idx="127" formatCode="0.00E+00">
                  <c:v>-0.35670000000000002</c:v>
                </c:pt>
                <c:pt idx="128" formatCode="0.00E+00">
                  <c:v>-0.37290000000000001</c:v>
                </c:pt>
                <c:pt idx="129" formatCode="0.00E+00">
                  <c:v>-0.38979999999999998</c:v>
                </c:pt>
                <c:pt idx="130" formatCode="0.00E+00">
                  <c:v>-0.40739999999999998</c:v>
                </c:pt>
                <c:pt idx="131" formatCode="0.00E+00">
                  <c:v>-0.42580000000000001</c:v>
                </c:pt>
                <c:pt idx="132" formatCode="0.00E+00">
                  <c:v>-0.44490000000000002</c:v>
                </c:pt>
                <c:pt idx="133" formatCode="0.00E+00">
                  <c:v>-0.46489999999999998</c:v>
                </c:pt>
                <c:pt idx="134" formatCode="0.00E+00">
                  <c:v>-0.48570000000000002</c:v>
                </c:pt>
                <c:pt idx="135" formatCode="0.00E+00">
                  <c:v>-0.50729999999999997</c:v>
                </c:pt>
                <c:pt idx="136" formatCode="0.00E+00">
                  <c:v>-0.52990000000000004</c:v>
                </c:pt>
                <c:pt idx="137" formatCode="0.00E+00">
                  <c:v>-0.55330000000000001</c:v>
                </c:pt>
                <c:pt idx="138" formatCode="0.00E+00">
                  <c:v>-0.57769999999999999</c:v>
                </c:pt>
                <c:pt idx="139" formatCode="0.00E+00">
                  <c:v>-0.60309999999999997</c:v>
                </c:pt>
                <c:pt idx="140" formatCode="0.00E+00">
                  <c:v>-0.62949999999999995</c:v>
                </c:pt>
                <c:pt idx="141" formatCode="0.00E+00">
                  <c:v>-0.65700000000000003</c:v>
                </c:pt>
                <c:pt idx="142" formatCode="0.00E+00">
                  <c:v>-0.6855</c:v>
                </c:pt>
                <c:pt idx="143" formatCode="0.00E+00">
                  <c:v>-0.71509999999999996</c:v>
                </c:pt>
                <c:pt idx="144" formatCode="0.00E+00">
                  <c:v>-0.74590000000000001</c:v>
                </c:pt>
                <c:pt idx="145" formatCode="0.00E+00">
                  <c:v>-0.77780000000000005</c:v>
                </c:pt>
                <c:pt idx="146" formatCode="0.00E+00">
                  <c:v>-0.81100000000000005</c:v>
                </c:pt>
                <c:pt idx="147" formatCode="0.00E+00">
                  <c:v>-0.84540000000000004</c:v>
                </c:pt>
                <c:pt idx="148" formatCode="0.00E+00">
                  <c:v>-0.88119999999999998</c:v>
                </c:pt>
                <c:pt idx="149" formatCode="0.00E+00">
                  <c:v>-0.91820000000000002</c:v>
                </c:pt>
                <c:pt idx="150" formatCode="0.00E+00">
                  <c:v>-0.95669999999999999</c:v>
                </c:pt>
                <c:pt idx="151" formatCode="0.00E+00">
                  <c:v>-0.99670000000000003</c:v>
                </c:pt>
                <c:pt idx="152" formatCode="0.00E+00">
                  <c:v>-1.038</c:v>
                </c:pt>
                <c:pt idx="153" formatCode="0.00E+00">
                  <c:v>-1.081</c:v>
                </c:pt>
                <c:pt idx="154" formatCode="0.00E+00">
                  <c:v>-1.1259999999999999</c:v>
                </c:pt>
                <c:pt idx="155" formatCode="0.00E+00">
                  <c:v>-1.1719999999999999</c:v>
                </c:pt>
                <c:pt idx="156" formatCode="0.00E+00">
                  <c:v>-1.2210000000000001</c:v>
                </c:pt>
                <c:pt idx="157" formatCode="0.00E+00">
                  <c:v>-1.2709999999999999</c:v>
                </c:pt>
                <c:pt idx="158" formatCode="0.00E+00">
                  <c:v>-1.323</c:v>
                </c:pt>
                <c:pt idx="159" formatCode="0.00E+00">
                  <c:v>-1.3759999999999999</c:v>
                </c:pt>
                <c:pt idx="160" formatCode="0.00E+00">
                  <c:v>-1.4319999999999999</c:v>
                </c:pt>
                <c:pt idx="161" formatCode="0.00E+00">
                  <c:v>-1.49</c:v>
                </c:pt>
                <c:pt idx="162" formatCode="0.00E+00">
                  <c:v>-1.55</c:v>
                </c:pt>
                <c:pt idx="163" formatCode="0.00E+00">
                  <c:v>-1.6120000000000001</c:v>
                </c:pt>
                <c:pt idx="164" formatCode="0.00E+00">
                  <c:v>-1.675</c:v>
                </c:pt>
                <c:pt idx="165" formatCode="0.00E+00">
                  <c:v>-1.7410000000000001</c:v>
                </c:pt>
                <c:pt idx="166" formatCode="0.00E+00">
                  <c:v>-1.8089999999999999</c:v>
                </c:pt>
                <c:pt idx="167" formatCode="0.00E+00">
                  <c:v>-1.8779999999999999</c:v>
                </c:pt>
                <c:pt idx="168" formatCode="0.00E+00">
                  <c:v>-1.95</c:v>
                </c:pt>
                <c:pt idx="169" formatCode="0.00E+00">
                  <c:v>-2.0230000000000001</c:v>
                </c:pt>
                <c:pt idx="170" formatCode="0.00E+00">
                  <c:v>-2.0979999999999999</c:v>
                </c:pt>
                <c:pt idx="171" formatCode="0.00E+00">
                  <c:v>-2.1749999999999998</c:v>
                </c:pt>
                <c:pt idx="172" formatCode="0.00E+00">
                  <c:v>-2.2530000000000001</c:v>
                </c:pt>
                <c:pt idx="173" formatCode="0.00E+00">
                  <c:v>-2.3340000000000001</c:v>
                </c:pt>
                <c:pt idx="174" formatCode="0.00E+00">
                  <c:v>-2.4159999999999999</c:v>
                </c:pt>
                <c:pt idx="175" formatCode="0.00E+00">
                  <c:v>-2.5009999999999999</c:v>
                </c:pt>
                <c:pt idx="176" formatCode="0.00E+00">
                  <c:v>-2.589</c:v>
                </c:pt>
                <c:pt idx="177" formatCode="0.00E+00">
                  <c:v>-2.6789999999999998</c:v>
                </c:pt>
                <c:pt idx="178" formatCode="0.00E+00">
                  <c:v>-2.7730000000000001</c:v>
                </c:pt>
                <c:pt idx="179" formatCode="0.00E+00">
                  <c:v>-2.8690000000000002</c:v>
                </c:pt>
                <c:pt idx="180" formatCode="0.00E+00">
                  <c:v>-2.968</c:v>
                </c:pt>
                <c:pt idx="181" formatCode="0.00E+00">
                  <c:v>-3.07</c:v>
                </c:pt>
                <c:pt idx="182" formatCode="0.00E+00">
                  <c:v>-3.1749999999999998</c:v>
                </c:pt>
                <c:pt idx="183" formatCode="0.00E+00">
                  <c:v>-3.2829999999999999</c:v>
                </c:pt>
                <c:pt idx="184" formatCode="0.00E+00">
                  <c:v>-3.3919999999999999</c:v>
                </c:pt>
                <c:pt idx="185" formatCode="0.00E+00">
                  <c:v>-3.5030000000000001</c:v>
                </c:pt>
                <c:pt idx="186" formatCode="0.00E+00">
                  <c:v>-3.6150000000000002</c:v>
                </c:pt>
                <c:pt idx="187" formatCode="0.00E+00">
                  <c:v>-3.7280000000000002</c:v>
                </c:pt>
                <c:pt idx="188" formatCode="0.00E+00">
                  <c:v>-3.8420000000000001</c:v>
                </c:pt>
                <c:pt idx="189" formatCode="0.00E+00">
                  <c:v>-3.9569999999999999</c:v>
                </c:pt>
                <c:pt idx="190" formatCode="0.00E+00">
                  <c:v>-4.0730000000000004</c:v>
                </c:pt>
                <c:pt idx="191" formatCode="0.00E+00">
                  <c:v>-4.1929999999999996</c:v>
                </c:pt>
                <c:pt idx="192" formatCode="0.00E+00">
                  <c:v>-4.3159999999999998</c:v>
                </c:pt>
                <c:pt idx="193" formatCode="0.00E+00">
                  <c:v>-4.4429999999999996</c:v>
                </c:pt>
                <c:pt idx="194" formatCode="0.00E+00">
                  <c:v>-4.5750000000000002</c:v>
                </c:pt>
                <c:pt idx="195" formatCode="0.00E+00">
                  <c:v>-4.7110000000000003</c:v>
                </c:pt>
                <c:pt idx="196" formatCode="0.00E+00">
                  <c:v>-4.8499999999999996</c:v>
                </c:pt>
                <c:pt idx="197" formatCode="0.00E+00">
                  <c:v>-4.99</c:v>
                </c:pt>
                <c:pt idx="198" formatCode="0.00E+00">
                  <c:v>-5.13</c:v>
                </c:pt>
                <c:pt idx="199" formatCode="0.00E+00">
                  <c:v>-5.2690000000000001</c:v>
                </c:pt>
                <c:pt idx="200" formatCode="0.00E+00">
                  <c:v>-5.4059999999999997</c:v>
                </c:pt>
              </c:numCache>
            </c:numRef>
          </c:yVal>
          <c:smooth val="0"/>
          <c:extLst>
            <c:ext xmlns:c16="http://schemas.microsoft.com/office/drawing/2014/chart" uri="{C3380CC4-5D6E-409C-BE32-E72D297353CC}">
              <c16:uniqueId val="{00000001-F2DB-40C3-8723-C8886B966B3A}"/>
            </c:ext>
          </c:extLst>
        </c:ser>
        <c:ser>
          <c:idx val="2"/>
          <c:order val="2"/>
          <c:tx>
            <c:strRef>
              <c:f>'Input-data'!$M$57</c:f>
              <c:strCache>
                <c:ptCount val="1"/>
                <c:pt idx="0">
                  <c:v>S21</c:v>
                </c:pt>
              </c:strCache>
            </c:strRef>
          </c:tx>
          <c:spPr>
            <a:ln w="25400">
              <a:solidFill>
                <a:srgbClr val="0000FF"/>
              </a:solidFill>
              <a:prstDash val="solid"/>
            </a:ln>
          </c:spPr>
          <c:marker>
            <c:symbol val="none"/>
          </c:marker>
          <c:xVal>
            <c:numRef>
              <c:f>'Input-data'!$B$60:$B$260</c:f>
              <c:numCache>
                <c:formatCode>0.00E+00</c:formatCode>
                <c:ptCount val="201"/>
                <c:pt idx="0">
                  <c:v>100000000</c:v>
                </c:pt>
                <c:pt idx="1">
                  <c:v>102300000</c:v>
                </c:pt>
                <c:pt idx="2">
                  <c:v>104700000</c:v>
                </c:pt>
                <c:pt idx="3">
                  <c:v>107200000</c:v>
                </c:pt>
                <c:pt idx="4">
                  <c:v>109600000</c:v>
                </c:pt>
                <c:pt idx="5">
                  <c:v>112200000</c:v>
                </c:pt>
                <c:pt idx="6">
                  <c:v>114800000</c:v>
                </c:pt>
                <c:pt idx="7">
                  <c:v>117500000</c:v>
                </c:pt>
                <c:pt idx="8">
                  <c:v>120200000</c:v>
                </c:pt>
                <c:pt idx="9">
                  <c:v>123000000</c:v>
                </c:pt>
                <c:pt idx="10">
                  <c:v>125900000</c:v>
                </c:pt>
                <c:pt idx="11">
                  <c:v>128800000</c:v>
                </c:pt>
                <c:pt idx="12">
                  <c:v>131800000</c:v>
                </c:pt>
                <c:pt idx="13">
                  <c:v>134900000</c:v>
                </c:pt>
                <c:pt idx="14">
                  <c:v>138000000</c:v>
                </c:pt>
                <c:pt idx="15">
                  <c:v>141300000</c:v>
                </c:pt>
                <c:pt idx="16">
                  <c:v>144500000</c:v>
                </c:pt>
                <c:pt idx="17">
                  <c:v>147900000</c:v>
                </c:pt>
                <c:pt idx="18">
                  <c:v>151400000</c:v>
                </c:pt>
                <c:pt idx="19">
                  <c:v>154900000</c:v>
                </c:pt>
                <c:pt idx="20">
                  <c:v>158500000</c:v>
                </c:pt>
                <c:pt idx="21">
                  <c:v>162200000</c:v>
                </c:pt>
                <c:pt idx="22">
                  <c:v>166000000</c:v>
                </c:pt>
                <c:pt idx="23">
                  <c:v>169800000</c:v>
                </c:pt>
                <c:pt idx="24">
                  <c:v>173800000</c:v>
                </c:pt>
                <c:pt idx="25">
                  <c:v>177800000</c:v>
                </c:pt>
                <c:pt idx="26">
                  <c:v>182000000</c:v>
                </c:pt>
                <c:pt idx="27">
                  <c:v>186200000</c:v>
                </c:pt>
                <c:pt idx="28">
                  <c:v>190500000</c:v>
                </c:pt>
                <c:pt idx="29">
                  <c:v>195000000</c:v>
                </c:pt>
                <c:pt idx="30">
                  <c:v>199500000</c:v>
                </c:pt>
                <c:pt idx="31">
                  <c:v>204200000</c:v>
                </c:pt>
                <c:pt idx="32">
                  <c:v>208900000</c:v>
                </c:pt>
                <c:pt idx="33">
                  <c:v>213800000</c:v>
                </c:pt>
                <c:pt idx="34">
                  <c:v>218800000</c:v>
                </c:pt>
                <c:pt idx="35">
                  <c:v>223900000</c:v>
                </c:pt>
                <c:pt idx="36">
                  <c:v>229100000</c:v>
                </c:pt>
                <c:pt idx="37">
                  <c:v>234400000</c:v>
                </c:pt>
                <c:pt idx="38">
                  <c:v>239900000</c:v>
                </c:pt>
                <c:pt idx="39">
                  <c:v>245500000</c:v>
                </c:pt>
                <c:pt idx="40">
                  <c:v>251200000</c:v>
                </c:pt>
                <c:pt idx="41">
                  <c:v>257000000</c:v>
                </c:pt>
                <c:pt idx="42">
                  <c:v>263000000</c:v>
                </c:pt>
                <c:pt idx="43">
                  <c:v>269200000</c:v>
                </c:pt>
                <c:pt idx="44">
                  <c:v>275400000</c:v>
                </c:pt>
                <c:pt idx="45">
                  <c:v>281800000</c:v>
                </c:pt>
                <c:pt idx="46">
                  <c:v>288400000</c:v>
                </c:pt>
                <c:pt idx="47">
                  <c:v>295100000</c:v>
                </c:pt>
                <c:pt idx="48">
                  <c:v>302000000</c:v>
                </c:pt>
                <c:pt idx="49">
                  <c:v>309000000</c:v>
                </c:pt>
                <c:pt idx="50">
                  <c:v>316200000</c:v>
                </c:pt>
                <c:pt idx="51">
                  <c:v>323600000</c:v>
                </c:pt>
                <c:pt idx="52">
                  <c:v>331100000</c:v>
                </c:pt>
                <c:pt idx="53">
                  <c:v>338800000</c:v>
                </c:pt>
                <c:pt idx="54">
                  <c:v>346700000</c:v>
                </c:pt>
                <c:pt idx="55">
                  <c:v>354800000</c:v>
                </c:pt>
                <c:pt idx="56">
                  <c:v>363100000</c:v>
                </c:pt>
                <c:pt idx="57">
                  <c:v>371500000</c:v>
                </c:pt>
                <c:pt idx="58">
                  <c:v>380200000</c:v>
                </c:pt>
                <c:pt idx="59">
                  <c:v>389000000</c:v>
                </c:pt>
                <c:pt idx="60">
                  <c:v>398100000</c:v>
                </c:pt>
                <c:pt idx="61">
                  <c:v>407400000</c:v>
                </c:pt>
                <c:pt idx="62">
                  <c:v>416900000</c:v>
                </c:pt>
                <c:pt idx="63">
                  <c:v>426600000</c:v>
                </c:pt>
                <c:pt idx="64">
                  <c:v>436500000</c:v>
                </c:pt>
                <c:pt idx="65">
                  <c:v>446700000</c:v>
                </c:pt>
                <c:pt idx="66">
                  <c:v>457100000</c:v>
                </c:pt>
                <c:pt idx="67">
                  <c:v>467700000</c:v>
                </c:pt>
                <c:pt idx="68">
                  <c:v>478600000</c:v>
                </c:pt>
                <c:pt idx="69">
                  <c:v>489800000</c:v>
                </c:pt>
                <c:pt idx="70">
                  <c:v>501200000</c:v>
                </c:pt>
                <c:pt idx="71">
                  <c:v>512900000</c:v>
                </c:pt>
                <c:pt idx="72">
                  <c:v>524800000</c:v>
                </c:pt>
                <c:pt idx="73">
                  <c:v>537000000</c:v>
                </c:pt>
                <c:pt idx="74">
                  <c:v>549500000</c:v>
                </c:pt>
                <c:pt idx="75">
                  <c:v>562300000</c:v>
                </c:pt>
                <c:pt idx="76">
                  <c:v>575400000</c:v>
                </c:pt>
                <c:pt idx="77">
                  <c:v>588800000</c:v>
                </c:pt>
                <c:pt idx="78">
                  <c:v>602600000</c:v>
                </c:pt>
                <c:pt idx="79">
                  <c:v>616600000</c:v>
                </c:pt>
                <c:pt idx="80">
                  <c:v>631000000</c:v>
                </c:pt>
                <c:pt idx="81">
                  <c:v>645700000</c:v>
                </c:pt>
                <c:pt idx="82">
                  <c:v>660700000</c:v>
                </c:pt>
                <c:pt idx="83">
                  <c:v>676100000</c:v>
                </c:pt>
                <c:pt idx="84">
                  <c:v>691800000</c:v>
                </c:pt>
                <c:pt idx="85">
                  <c:v>707900000</c:v>
                </c:pt>
                <c:pt idx="86">
                  <c:v>724400000</c:v>
                </c:pt>
                <c:pt idx="87">
                  <c:v>741300000</c:v>
                </c:pt>
                <c:pt idx="88">
                  <c:v>758600000</c:v>
                </c:pt>
                <c:pt idx="89">
                  <c:v>776200000</c:v>
                </c:pt>
                <c:pt idx="90">
                  <c:v>794300000</c:v>
                </c:pt>
                <c:pt idx="91">
                  <c:v>812800000</c:v>
                </c:pt>
                <c:pt idx="92">
                  <c:v>831800000</c:v>
                </c:pt>
                <c:pt idx="93">
                  <c:v>851100000</c:v>
                </c:pt>
                <c:pt idx="94">
                  <c:v>871000000</c:v>
                </c:pt>
                <c:pt idx="95">
                  <c:v>891300000</c:v>
                </c:pt>
                <c:pt idx="96">
                  <c:v>912000000</c:v>
                </c:pt>
                <c:pt idx="97">
                  <c:v>933300000</c:v>
                </c:pt>
                <c:pt idx="98">
                  <c:v>955000000</c:v>
                </c:pt>
                <c:pt idx="99">
                  <c:v>977200000</c:v>
                </c:pt>
                <c:pt idx="100">
                  <c:v>1000000000</c:v>
                </c:pt>
                <c:pt idx="101">
                  <c:v>1023000000</c:v>
                </c:pt>
                <c:pt idx="102">
                  <c:v>1047000000</c:v>
                </c:pt>
                <c:pt idx="103">
                  <c:v>1072000000</c:v>
                </c:pt>
                <c:pt idx="104">
                  <c:v>1096000000</c:v>
                </c:pt>
                <c:pt idx="105">
                  <c:v>1122000000</c:v>
                </c:pt>
                <c:pt idx="106">
                  <c:v>1148000000</c:v>
                </c:pt>
                <c:pt idx="107">
                  <c:v>1175000000</c:v>
                </c:pt>
                <c:pt idx="108">
                  <c:v>1202000000</c:v>
                </c:pt>
                <c:pt idx="109">
                  <c:v>1230000000</c:v>
                </c:pt>
                <c:pt idx="110">
                  <c:v>1259000000</c:v>
                </c:pt>
                <c:pt idx="111">
                  <c:v>1288000000</c:v>
                </c:pt>
                <c:pt idx="112">
                  <c:v>1318000000</c:v>
                </c:pt>
                <c:pt idx="113">
                  <c:v>1349000000</c:v>
                </c:pt>
                <c:pt idx="114">
                  <c:v>1380000000</c:v>
                </c:pt>
                <c:pt idx="115">
                  <c:v>1413000000</c:v>
                </c:pt>
                <c:pt idx="116">
                  <c:v>1445000000</c:v>
                </c:pt>
                <c:pt idx="117">
                  <c:v>1479000000</c:v>
                </c:pt>
                <c:pt idx="118">
                  <c:v>1514000000</c:v>
                </c:pt>
                <c:pt idx="119">
                  <c:v>1549000000</c:v>
                </c:pt>
                <c:pt idx="120">
                  <c:v>1585000000</c:v>
                </c:pt>
                <c:pt idx="121">
                  <c:v>1622000000</c:v>
                </c:pt>
                <c:pt idx="122">
                  <c:v>1660000000</c:v>
                </c:pt>
                <c:pt idx="123">
                  <c:v>1698000000</c:v>
                </c:pt>
                <c:pt idx="124">
                  <c:v>1738000000</c:v>
                </c:pt>
                <c:pt idx="125">
                  <c:v>1778000000</c:v>
                </c:pt>
                <c:pt idx="126">
                  <c:v>1820000000</c:v>
                </c:pt>
                <c:pt idx="127">
                  <c:v>1862000000</c:v>
                </c:pt>
                <c:pt idx="128">
                  <c:v>1905000000</c:v>
                </c:pt>
                <c:pt idx="129">
                  <c:v>1950000000</c:v>
                </c:pt>
                <c:pt idx="130">
                  <c:v>1995000000</c:v>
                </c:pt>
                <c:pt idx="131">
                  <c:v>2042000000</c:v>
                </c:pt>
                <c:pt idx="132">
                  <c:v>2089000000</c:v>
                </c:pt>
                <c:pt idx="133">
                  <c:v>2138000000</c:v>
                </c:pt>
                <c:pt idx="134">
                  <c:v>2188000000</c:v>
                </c:pt>
                <c:pt idx="135">
                  <c:v>2239000000</c:v>
                </c:pt>
                <c:pt idx="136">
                  <c:v>2291000000</c:v>
                </c:pt>
                <c:pt idx="137">
                  <c:v>2344000000</c:v>
                </c:pt>
                <c:pt idx="138">
                  <c:v>2399000000</c:v>
                </c:pt>
                <c:pt idx="139">
                  <c:v>2455000000</c:v>
                </c:pt>
                <c:pt idx="140">
                  <c:v>2512000000</c:v>
                </c:pt>
                <c:pt idx="141">
                  <c:v>2570000000</c:v>
                </c:pt>
                <c:pt idx="142">
                  <c:v>2630000000</c:v>
                </c:pt>
                <c:pt idx="143">
                  <c:v>2692000000</c:v>
                </c:pt>
                <c:pt idx="144">
                  <c:v>2754000000</c:v>
                </c:pt>
                <c:pt idx="145">
                  <c:v>2818000000</c:v>
                </c:pt>
                <c:pt idx="146">
                  <c:v>2884000000</c:v>
                </c:pt>
                <c:pt idx="147">
                  <c:v>2951000000</c:v>
                </c:pt>
                <c:pt idx="148">
                  <c:v>3020000000</c:v>
                </c:pt>
                <c:pt idx="149">
                  <c:v>3090000000</c:v>
                </c:pt>
                <c:pt idx="150">
                  <c:v>3162000000</c:v>
                </c:pt>
                <c:pt idx="151">
                  <c:v>3236000000</c:v>
                </c:pt>
                <c:pt idx="152">
                  <c:v>3311000000</c:v>
                </c:pt>
                <c:pt idx="153">
                  <c:v>3388000000</c:v>
                </c:pt>
                <c:pt idx="154">
                  <c:v>3467000000</c:v>
                </c:pt>
                <c:pt idx="155">
                  <c:v>3548000000</c:v>
                </c:pt>
                <c:pt idx="156">
                  <c:v>3631000000</c:v>
                </c:pt>
                <c:pt idx="157">
                  <c:v>3715000000</c:v>
                </c:pt>
                <c:pt idx="158">
                  <c:v>3802000000</c:v>
                </c:pt>
                <c:pt idx="159">
                  <c:v>3890000000</c:v>
                </c:pt>
                <c:pt idx="160">
                  <c:v>3981000000</c:v>
                </c:pt>
                <c:pt idx="161">
                  <c:v>4074000000</c:v>
                </c:pt>
                <c:pt idx="162">
                  <c:v>4169000000</c:v>
                </c:pt>
                <c:pt idx="163">
                  <c:v>4266000000</c:v>
                </c:pt>
                <c:pt idx="164">
                  <c:v>4365000000</c:v>
                </c:pt>
                <c:pt idx="165">
                  <c:v>4467000000</c:v>
                </c:pt>
                <c:pt idx="166">
                  <c:v>4571000000</c:v>
                </c:pt>
                <c:pt idx="167">
                  <c:v>4677000000</c:v>
                </c:pt>
                <c:pt idx="168">
                  <c:v>4786000000</c:v>
                </c:pt>
                <c:pt idx="169">
                  <c:v>4898000000</c:v>
                </c:pt>
                <c:pt idx="170">
                  <c:v>5012000000</c:v>
                </c:pt>
                <c:pt idx="171">
                  <c:v>5129000000</c:v>
                </c:pt>
                <c:pt idx="172">
                  <c:v>5248000000</c:v>
                </c:pt>
                <c:pt idx="173">
                  <c:v>5370000000</c:v>
                </c:pt>
                <c:pt idx="174">
                  <c:v>5495000000</c:v>
                </c:pt>
                <c:pt idx="175">
                  <c:v>5623000000</c:v>
                </c:pt>
                <c:pt idx="176">
                  <c:v>5754000000</c:v>
                </c:pt>
                <c:pt idx="177">
                  <c:v>5888000000</c:v>
                </c:pt>
                <c:pt idx="178">
                  <c:v>6026000000</c:v>
                </c:pt>
                <c:pt idx="179">
                  <c:v>6166000000</c:v>
                </c:pt>
                <c:pt idx="180">
                  <c:v>6310000000</c:v>
                </c:pt>
                <c:pt idx="181">
                  <c:v>6457000000</c:v>
                </c:pt>
                <c:pt idx="182">
                  <c:v>6607000000</c:v>
                </c:pt>
                <c:pt idx="183">
                  <c:v>6761000000</c:v>
                </c:pt>
                <c:pt idx="184">
                  <c:v>6918000000</c:v>
                </c:pt>
                <c:pt idx="185">
                  <c:v>7079000000</c:v>
                </c:pt>
                <c:pt idx="186">
                  <c:v>7244000000</c:v>
                </c:pt>
                <c:pt idx="187">
                  <c:v>7413000000</c:v>
                </c:pt>
                <c:pt idx="188">
                  <c:v>7586000000</c:v>
                </c:pt>
                <c:pt idx="189">
                  <c:v>7762000000</c:v>
                </c:pt>
                <c:pt idx="190">
                  <c:v>7943000000</c:v>
                </c:pt>
                <c:pt idx="191">
                  <c:v>8128000000</c:v>
                </c:pt>
                <c:pt idx="192">
                  <c:v>8318000000</c:v>
                </c:pt>
                <c:pt idx="193">
                  <c:v>8511000000</c:v>
                </c:pt>
                <c:pt idx="194">
                  <c:v>8710000000</c:v>
                </c:pt>
                <c:pt idx="195">
                  <c:v>8913000000</c:v>
                </c:pt>
                <c:pt idx="196">
                  <c:v>9120000000</c:v>
                </c:pt>
                <c:pt idx="197">
                  <c:v>9333000000</c:v>
                </c:pt>
                <c:pt idx="198">
                  <c:v>9550000000</c:v>
                </c:pt>
                <c:pt idx="199">
                  <c:v>9772000000</c:v>
                </c:pt>
                <c:pt idx="200">
                  <c:v>10000000000</c:v>
                </c:pt>
              </c:numCache>
            </c:numRef>
          </c:xVal>
          <c:yVal>
            <c:numRef>
              <c:f>'Input-data'!$M$60:$M$260</c:f>
              <c:numCache>
                <c:formatCode>0.0E+00</c:formatCode>
                <c:ptCount val="201"/>
                <c:pt idx="0">
                  <c:v>-1.0740000000000001E-3</c:v>
                </c:pt>
                <c:pt idx="1">
                  <c:v>-1.124E-3</c:v>
                </c:pt>
                <c:pt idx="2">
                  <c:v>-1.178E-3</c:v>
                </c:pt>
                <c:pt idx="3">
                  <c:v>-1.2329999999999999E-3</c:v>
                </c:pt>
                <c:pt idx="4">
                  <c:v>-1.291E-3</c:v>
                </c:pt>
                <c:pt idx="5">
                  <c:v>-1.3519999999999999E-3</c:v>
                </c:pt>
                <c:pt idx="6">
                  <c:v>-1.4159999999999999E-3</c:v>
                </c:pt>
                <c:pt idx="7">
                  <c:v>-1.482E-3</c:v>
                </c:pt>
                <c:pt idx="8">
                  <c:v>-1.552E-3</c:v>
                </c:pt>
                <c:pt idx="9">
                  <c:v>-1.6249999999999999E-3</c:v>
                </c:pt>
                <c:pt idx="10">
                  <c:v>-1.702E-3</c:v>
                </c:pt>
                <c:pt idx="11">
                  <c:v>-1.7819999999999999E-3</c:v>
                </c:pt>
                <c:pt idx="12">
                  <c:v>-1.866E-3</c:v>
                </c:pt>
                <c:pt idx="13">
                  <c:v>-1.9530000000000001E-3</c:v>
                </c:pt>
                <c:pt idx="14">
                  <c:v>-2.0460000000000001E-3</c:v>
                </c:pt>
                <c:pt idx="15">
                  <c:v>-2.1419999999999998E-3</c:v>
                </c:pt>
                <c:pt idx="16">
                  <c:v>-2.2430000000000002E-3</c:v>
                </c:pt>
                <c:pt idx="17">
                  <c:v>-2.3479999999999998E-3</c:v>
                </c:pt>
                <c:pt idx="18">
                  <c:v>-2.4589999999999998E-3</c:v>
                </c:pt>
                <c:pt idx="19">
                  <c:v>-2.575E-3</c:v>
                </c:pt>
                <c:pt idx="20">
                  <c:v>-2.696E-3</c:v>
                </c:pt>
                <c:pt idx="21">
                  <c:v>-2.823E-3</c:v>
                </c:pt>
                <c:pt idx="22">
                  <c:v>-2.9559999999999999E-3</c:v>
                </c:pt>
                <c:pt idx="23">
                  <c:v>-3.0950000000000001E-3</c:v>
                </c:pt>
                <c:pt idx="24">
                  <c:v>-3.241E-3</c:v>
                </c:pt>
                <c:pt idx="25">
                  <c:v>-3.3939999999999999E-3</c:v>
                </c:pt>
                <c:pt idx="26">
                  <c:v>-3.5530000000000002E-3</c:v>
                </c:pt>
                <c:pt idx="27">
                  <c:v>-3.7209999999999999E-3</c:v>
                </c:pt>
                <c:pt idx="28">
                  <c:v>-3.8960000000000002E-3</c:v>
                </c:pt>
                <c:pt idx="29">
                  <c:v>-4.0790000000000002E-3</c:v>
                </c:pt>
                <c:pt idx="30">
                  <c:v>-4.2719999999999998E-3</c:v>
                </c:pt>
                <c:pt idx="31">
                  <c:v>-4.4730000000000004E-3</c:v>
                </c:pt>
                <c:pt idx="32">
                  <c:v>-4.6829999999999997E-3</c:v>
                </c:pt>
                <c:pt idx="33">
                  <c:v>-4.9040000000000004E-3</c:v>
                </c:pt>
                <c:pt idx="34">
                  <c:v>-5.1349999999999998E-3</c:v>
                </c:pt>
                <c:pt idx="35">
                  <c:v>-5.3769999999999998E-3</c:v>
                </c:pt>
                <c:pt idx="36">
                  <c:v>-5.6299999999999996E-3</c:v>
                </c:pt>
                <c:pt idx="37">
                  <c:v>-5.8950000000000001E-3</c:v>
                </c:pt>
                <c:pt idx="38">
                  <c:v>-6.1720000000000004E-3</c:v>
                </c:pt>
                <c:pt idx="39">
                  <c:v>-6.463E-3</c:v>
                </c:pt>
                <c:pt idx="40">
                  <c:v>-6.7669999999999996E-3</c:v>
                </c:pt>
                <c:pt idx="41">
                  <c:v>-7.0850000000000002E-3</c:v>
                </c:pt>
                <c:pt idx="42">
                  <c:v>-7.4190000000000002E-3</c:v>
                </c:pt>
                <c:pt idx="43">
                  <c:v>-7.7679999999999997E-3</c:v>
                </c:pt>
                <c:pt idx="44">
                  <c:v>-8.1329999999999996E-3</c:v>
                </c:pt>
                <c:pt idx="45">
                  <c:v>-8.5159999999999993E-3</c:v>
                </c:pt>
                <c:pt idx="46">
                  <c:v>-8.9169999999999996E-3</c:v>
                </c:pt>
                <c:pt idx="47">
                  <c:v>-9.3369999999999998E-3</c:v>
                </c:pt>
                <c:pt idx="48">
                  <c:v>-9.776E-3</c:v>
                </c:pt>
                <c:pt idx="49">
                  <c:v>-1.0240000000000001E-2</c:v>
                </c:pt>
                <c:pt idx="50">
                  <c:v>-1.072E-2</c:v>
                </c:pt>
                <c:pt idx="51">
                  <c:v>-1.1220000000000001E-2</c:v>
                </c:pt>
                <c:pt idx="52">
                  <c:v>-1.175E-2</c:v>
                </c:pt>
                <c:pt idx="53">
                  <c:v>-1.23E-2</c:v>
                </c:pt>
                <c:pt idx="54">
                  <c:v>-1.2880000000000001E-2</c:v>
                </c:pt>
                <c:pt idx="55">
                  <c:v>-1.349E-2</c:v>
                </c:pt>
                <c:pt idx="56">
                  <c:v>-1.4120000000000001E-2</c:v>
                </c:pt>
                <c:pt idx="57">
                  <c:v>-1.478E-2</c:v>
                </c:pt>
                <c:pt idx="58">
                  <c:v>-1.5480000000000001E-2</c:v>
                </c:pt>
                <c:pt idx="59">
                  <c:v>-1.6209999999999999E-2</c:v>
                </c:pt>
                <c:pt idx="60">
                  <c:v>-1.6969999999999999E-2</c:v>
                </c:pt>
                <c:pt idx="61">
                  <c:v>-1.7760000000000001E-2</c:v>
                </c:pt>
                <c:pt idx="62">
                  <c:v>-1.8599999999999998E-2</c:v>
                </c:pt>
                <c:pt idx="63">
                  <c:v>-1.9470000000000001E-2</c:v>
                </c:pt>
                <c:pt idx="64">
                  <c:v>-2.0389999999999998E-2</c:v>
                </c:pt>
                <c:pt idx="65">
                  <c:v>-2.1340000000000001E-2</c:v>
                </c:pt>
                <c:pt idx="66">
                  <c:v>-2.2349999999999998E-2</c:v>
                </c:pt>
                <c:pt idx="67">
                  <c:v>-2.3400000000000001E-2</c:v>
                </c:pt>
                <c:pt idx="68">
                  <c:v>-2.4490000000000001E-2</c:v>
                </c:pt>
                <c:pt idx="69">
                  <c:v>-2.564E-2</c:v>
                </c:pt>
                <c:pt idx="70">
                  <c:v>-2.6849999999999999E-2</c:v>
                </c:pt>
                <c:pt idx="71">
                  <c:v>-2.811E-2</c:v>
                </c:pt>
                <c:pt idx="72">
                  <c:v>-2.9420000000000002E-2</c:v>
                </c:pt>
                <c:pt idx="73">
                  <c:v>-3.0800000000000001E-2</c:v>
                </c:pt>
                <c:pt idx="74">
                  <c:v>-3.2250000000000001E-2</c:v>
                </c:pt>
                <c:pt idx="75">
                  <c:v>-3.3759999999999998E-2</c:v>
                </c:pt>
                <c:pt idx="76">
                  <c:v>-3.5340000000000003E-2</c:v>
                </c:pt>
                <c:pt idx="77">
                  <c:v>-3.6999999999999998E-2</c:v>
                </c:pt>
                <c:pt idx="78">
                  <c:v>-3.8730000000000001E-2</c:v>
                </c:pt>
                <c:pt idx="79">
                  <c:v>-4.054E-2</c:v>
                </c:pt>
                <c:pt idx="80">
                  <c:v>-4.2439999999999999E-2</c:v>
                </c:pt>
                <c:pt idx="81">
                  <c:v>-4.4429999999999997E-2</c:v>
                </c:pt>
                <c:pt idx="82">
                  <c:v>-4.6510000000000003E-2</c:v>
                </c:pt>
                <c:pt idx="83">
                  <c:v>-4.8680000000000001E-2</c:v>
                </c:pt>
                <c:pt idx="84">
                  <c:v>-5.0959999999999998E-2</c:v>
                </c:pt>
                <c:pt idx="85">
                  <c:v>-5.3339999999999999E-2</c:v>
                </c:pt>
                <c:pt idx="86">
                  <c:v>-5.5840000000000001E-2</c:v>
                </c:pt>
                <c:pt idx="87">
                  <c:v>-5.8450000000000002E-2</c:v>
                </c:pt>
                <c:pt idx="88">
                  <c:v>-6.1179999999999998E-2</c:v>
                </c:pt>
                <c:pt idx="89">
                  <c:v>-6.4030000000000004E-2</c:v>
                </c:pt>
                <c:pt idx="90">
                  <c:v>-6.7019999999999996E-2</c:v>
                </c:pt>
                <c:pt idx="91">
                  <c:v>-7.0150000000000004E-2</c:v>
                </c:pt>
                <c:pt idx="92">
                  <c:v>-7.3419999999999999E-2</c:v>
                </c:pt>
                <c:pt idx="93">
                  <c:v>-7.6840000000000006E-2</c:v>
                </c:pt>
                <c:pt idx="94">
                  <c:v>-8.0430000000000001E-2</c:v>
                </c:pt>
                <c:pt idx="95">
                  <c:v>-8.4169999999999995E-2</c:v>
                </c:pt>
                <c:pt idx="96">
                  <c:v>-8.8090000000000002E-2</c:v>
                </c:pt>
                <c:pt idx="97">
                  <c:v>-9.2200000000000004E-2</c:v>
                </c:pt>
                <c:pt idx="98">
                  <c:v>-9.6490000000000006E-2</c:v>
                </c:pt>
                <c:pt idx="99">
                  <c:v>-0.10100000000000001</c:v>
                </c:pt>
                <c:pt idx="100">
                  <c:v>-0.1057</c:v>
                </c:pt>
                <c:pt idx="101">
                  <c:v>-0.1106</c:v>
                </c:pt>
                <c:pt idx="102">
                  <c:v>-0.1157</c:v>
                </c:pt>
                <c:pt idx="103">
                  <c:v>-0.1211</c:v>
                </c:pt>
                <c:pt idx="104">
                  <c:v>-0.12670000000000001</c:v>
                </c:pt>
                <c:pt idx="105">
                  <c:v>-0.1326</c:v>
                </c:pt>
                <c:pt idx="106">
                  <c:v>-0.13869999999999999</c:v>
                </c:pt>
                <c:pt idx="107">
                  <c:v>-0.1452</c:v>
                </c:pt>
                <c:pt idx="108">
                  <c:v>-0.15190000000000001</c:v>
                </c:pt>
                <c:pt idx="109">
                  <c:v>-0.15890000000000001</c:v>
                </c:pt>
                <c:pt idx="110">
                  <c:v>-0.1663</c:v>
                </c:pt>
                <c:pt idx="111">
                  <c:v>-0.17399999999999999</c:v>
                </c:pt>
                <c:pt idx="112">
                  <c:v>-0.182</c:v>
                </c:pt>
                <c:pt idx="113">
                  <c:v>-0.19040000000000001</c:v>
                </c:pt>
                <c:pt idx="114">
                  <c:v>-0.19919999999999999</c:v>
                </c:pt>
                <c:pt idx="115">
                  <c:v>-0.2084</c:v>
                </c:pt>
                <c:pt idx="116">
                  <c:v>-0.218</c:v>
                </c:pt>
                <c:pt idx="117">
                  <c:v>-0.22800000000000001</c:v>
                </c:pt>
                <c:pt idx="118">
                  <c:v>-0.23849999999999999</c:v>
                </c:pt>
                <c:pt idx="119">
                  <c:v>-0.2495</c:v>
                </c:pt>
                <c:pt idx="120">
                  <c:v>-0.26090000000000002</c:v>
                </c:pt>
                <c:pt idx="121" formatCode="0.00E+00">
                  <c:v>-0.27289999999999998</c:v>
                </c:pt>
                <c:pt idx="122" formatCode="0.00E+00">
                  <c:v>-0.28539999999999999</c:v>
                </c:pt>
                <c:pt idx="123" formatCode="0.00E+00">
                  <c:v>-0.2984</c:v>
                </c:pt>
                <c:pt idx="124" formatCode="0.00E+00">
                  <c:v>-0.31209999999999999</c:v>
                </c:pt>
                <c:pt idx="125" formatCode="0.00E+00">
                  <c:v>-0.32629999999999998</c:v>
                </c:pt>
                <c:pt idx="126" formatCode="0.00E+00">
                  <c:v>-0.3412</c:v>
                </c:pt>
                <c:pt idx="127" formatCode="0.00E+00">
                  <c:v>-0.35670000000000002</c:v>
                </c:pt>
                <c:pt idx="128" formatCode="0.00E+00">
                  <c:v>-0.37290000000000001</c:v>
                </c:pt>
                <c:pt idx="129" formatCode="0.00E+00">
                  <c:v>-0.38979999999999998</c:v>
                </c:pt>
                <c:pt idx="130" formatCode="0.00E+00">
                  <c:v>-0.40739999999999998</c:v>
                </c:pt>
                <c:pt idx="131" formatCode="0.00E+00">
                  <c:v>-0.42580000000000001</c:v>
                </c:pt>
                <c:pt idx="132" formatCode="0.00E+00">
                  <c:v>-0.44490000000000002</c:v>
                </c:pt>
                <c:pt idx="133" formatCode="0.00E+00">
                  <c:v>-0.46489999999999998</c:v>
                </c:pt>
                <c:pt idx="134" formatCode="0.00E+00">
                  <c:v>-0.48570000000000002</c:v>
                </c:pt>
                <c:pt idx="135" formatCode="0.00E+00">
                  <c:v>-0.50729999999999997</c:v>
                </c:pt>
                <c:pt idx="136" formatCode="0.00E+00">
                  <c:v>-0.52990000000000004</c:v>
                </c:pt>
                <c:pt idx="137" formatCode="0.00E+00">
                  <c:v>-0.55330000000000001</c:v>
                </c:pt>
                <c:pt idx="138" formatCode="0.00E+00">
                  <c:v>-0.57769999999999999</c:v>
                </c:pt>
                <c:pt idx="139" formatCode="0.00E+00">
                  <c:v>-0.60309999999999997</c:v>
                </c:pt>
                <c:pt idx="140" formatCode="0.00E+00">
                  <c:v>-0.62949999999999995</c:v>
                </c:pt>
                <c:pt idx="141" formatCode="0.00E+00">
                  <c:v>-0.65700000000000003</c:v>
                </c:pt>
                <c:pt idx="142" formatCode="0.00E+00">
                  <c:v>-0.6855</c:v>
                </c:pt>
                <c:pt idx="143" formatCode="0.00E+00">
                  <c:v>-0.71509999999999996</c:v>
                </c:pt>
                <c:pt idx="144" formatCode="0.00E+00">
                  <c:v>-0.74590000000000001</c:v>
                </c:pt>
                <c:pt idx="145" formatCode="0.00E+00">
                  <c:v>-0.77780000000000005</c:v>
                </c:pt>
                <c:pt idx="146" formatCode="0.00E+00">
                  <c:v>-0.81100000000000005</c:v>
                </c:pt>
                <c:pt idx="147" formatCode="0.00E+00">
                  <c:v>-0.84540000000000004</c:v>
                </c:pt>
                <c:pt idx="148" formatCode="0.00E+00">
                  <c:v>-0.88119999999999998</c:v>
                </c:pt>
                <c:pt idx="149" formatCode="0.00E+00">
                  <c:v>-0.91820000000000002</c:v>
                </c:pt>
                <c:pt idx="150" formatCode="0.00E+00">
                  <c:v>-0.95669999999999999</c:v>
                </c:pt>
                <c:pt idx="151" formatCode="0.00E+00">
                  <c:v>-0.99670000000000003</c:v>
                </c:pt>
                <c:pt idx="152" formatCode="0.00E+00">
                  <c:v>-1.038</c:v>
                </c:pt>
                <c:pt idx="153" formatCode="0.00E+00">
                  <c:v>-1.081</c:v>
                </c:pt>
                <c:pt idx="154" formatCode="0.00E+00">
                  <c:v>-1.1259999999999999</c:v>
                </c:pt>
                <c:pt idx="155" formatCode="0.00E+00">
                  <c:v>-1.1719999999999999</c:v>
                </c:pt>
                <c:pt idx="156" formatCode="0.00E+00">
                  <c:v>-1.2210000000000001</c:v>
                </c:pt>
                <c:pt idx="157" formatCode="0.00E+00">
                  <c:v>-1.2709999999999999</c:v>
                </c:pt>
                <c:pt idx="158" formatCode="0.00E+00">
                  <c:v>-1.323</c:v>
                </c:pt>
                <c:pt idx="159" formatCode="0.00E+00">
                  <c:v>-1.3759999999999999</c:v>
                </c:pt>
                <c:pt idx="160" formatCode="0.00E+00">
                  <c:v>-1.4319999999999999</c:v>
                </c:pt>
                <c:pt idx="161" formatCode="0.00E+00">
                  <c:v>-1.49</c:v>
                </c:pt>
                <c:pt idx="162" formatCode="0.00E+00">
                  <c:v>-1.55</c:v>
                </c:pt>
                <c:pt idx="163" formatCode="0.00E+00">
                  <c:v>-1.6120000000000001</c:v>
                </c:pt>
                <c:pt idx="164" formatCode="0.00E+00">
                  <c:v>-1.675</c:v>
                </c:pt>
                <c:pt idx="165" formatCode="0.00E+00">
                  <c:v>-1.7410000000000001</c:v>
                </c:pt>
                <c:pt idx="166" formatCode="0.00E+00">
                  <c:v>-1.8089999999999999</c:v>
                </c:pt>
                <c:pt idx="167" formatCode="0.00E+00">
                  <c:v>-1.8779999999999999</c:v>
                </c:pt>
                <c:pt idx="168" formatCode="0.00E+00">
                  <c:v>-1.95</c:v>
                </c:pt>
                <c:pt idx="169" formatCode="0.00E+00">
                  <c:v>-2.0230000000000001</c:v>
                </c:pt>
                <c:pt idx="170" formatCode="0.00E+00">
                  <c:v>-2.0979999999999999</c:v>
                </c:pt>
                <c:pt idx="171" formatCode="0.00E+00">
                  <c:v>-2.1749999999999998</c:v>
                </c:pt>
                <c:pt idx="172" formatCode="0.00E+00">
                  <c:v>-2.2530000000000001</c:v>
                </c:pt>
                <c:pt idx="173" formatCode="0.00E+00">
                  <c:v>-2.3340000000000001</c:v>
                </c:pt>
                <c:pt idx="174" formatCode="0.00E+00">
                  <c:v>-2.4159999999999999</c:v>
                </c:pt>
                <c:pt idx="175" formatCode="0.00E+00">
                  <c:v>-2.5009999999999999</c:v>
                </c:pt>
                <c:pt idx="176" formatCode="0.00E+00">
                  <c:v>-2.589</c:v>
                </c:pt>
                <c:pt idx="177" formatCode="0.00E+00">
                  <c:v>-2.6789999999999998</c:v>
                </c:pt>
                <c:pt idx="178" formatCode="0.00E+00">
                  <c:v>-2.7730000000000001</c:v>
                </c:pt>
                <c:pt idx="179" formatCode="0.00E+00">
                  <c:v>-2.8690000000000002</c:v>
                </c:pt>
                <c:pt idx="180" formatCode="0.00E+00">
                  <c:v>-2.968</c:v>
                </c:pt>
                <c:pt idx="181" formatCode="0.00E+00">
                  <c:v>-3.07</c:v>
                </c:pt>
                <c:pt idx="182" formatCode="0.00E+00">
                  <c:v>-3.1749999999999998</c:v>
                </c:pt>
                <c:pt idx="183" formatCode="0.00E+00">
                  <c:v>-3.2829999999999999</c:v>
                </c:pt>
                <c:pt idx="184" formatCode="0.00E+00">
                  <c:v>-3.3919999999999999</c:v>
                </c:pt>
                <c:pt idx="185" formatCode="0.00E+00">
                  <c:v>-3.5030000000000001</c:v>
                </c:pt>
                <c:pt idx="186" formatCode="0.00E+00">
                  <c:v>-3.6150000000000002</c:v>
                </c:pt>
                <c:pt idx="187" formatCode="0.00E+00">
                  <c:v>-3.7280000000000002</c:v>
                </c:pt>
                <c:pt idx="188" formatCode="0.00E+00">
                  <c:v>-3.8420000000000001</c:v>
                </c:pt>
                <c:pt idx="189" formatCode="0.00E+00">
                  <c:v>-3.9569999999999999</c:v>
                </c:pt>
                <c:pt idx="190" formatCode="0.00E+00">
                  <c:v>-4.0730000000000004</c:v>
                </c:pt>
                <c:pt idx="191" formatCode="0.00E+00">
                  <c:v>-4.1929999999999996</c:v>
                </c:pt>
                <c:pt idx="192" formatCode="0.00E+00">
                  <c:v>-4.3159999999999998</c:v>
                </c:pt>
                <c:pt idx="193" formatCode="0.00E+00">
                  <c:v>-4.4429999999999996</c:v>
                </c:pt>
                <c:pt idx="194" formatCode="0.00E+00">
                  <c:v>-4.5750000000000002</c:v>
                </c:pt>
                <c:pt idx="195" formatCode="0.00E+00">
                  <c:v>-4.7110000000000003</c:v>
                </c:pt>
                <c:pt idx="196" formatCode="0.00E+00">
                  <c:v>-4.8499999999999996</c:v>
                </c:pt>
                <c:pt idx="197" formatCode="0.00E+00">
                  <c:v>-4.99</c:v>
                </c:pt>
                <c:pt idx="198" formatCode="0.00E+00">
                  <c:v>-5.13</c:v>
                </c:pt>
                <c:pt idx="199" formatCode="0.00E+00">
                  <c:v>-5.2690000000000001</c:v>
                </c:pt>
                <c:pt idx="200" formatCode="0.00E+00">
                  <c:v>-5.4059999999999997</c:v>
                </c:pt>
              </c:numCache>
            </c:numRef>
          </c:yVal>
          <c:smooth val="0"/>
          <c:extLst>
            <c:ext xmlns:c16="http://schemas.microsoft.com/office/drawing/2014/chart" uri="{C3380CC4-5D6E-409C-BE32-E72D297353CC}">
              <c16:uniqueId val="{00000002-F2DB-40C3-8723-C8886B966B3A}"/>
            </c:ext>
          </c:extLst>
        </c:ser>
        <c:dLbls>
          <c:showLegendKey val="0"/>
          <c:showVal val="0"/>
          <c:showCatName val="0"/>
          <c:showSerName val="0"/>
          <c:showPercent val="0"/>
          <c:showBubbleSize val="0"/>
        </c:dLbls>
        <c:axId val="905600687"/>
        <c:axId val="1"/>
      </c:scatterChart>
      <c:scatterChart>
        <c:scatterStyle val="lineMarker"/>
        <c:varyColors val="0"/>
        <c:ser>
          <c:idx val="0"/>
          <c:order val="0"/>
          <c:tx>
            <c:strRef>
              <c:f>'Input-data'!$U$59</c:f>
              <c:strCache>
                <c:ptCount val="1"/>
                <c:pt idx="0">
                  <c:v>S11</c:v>
                </c:pt>
              </c:strCache>
            </c:strRef>
          </c:tx>
          <c:spPr>
            <a:ln w="25400">
              <a:solidFill>
                <a:srgbClr val="FF0000"/>
              </a:solidFill>
              <a:prstDash val="solid"/>
            </a:ln>
          </c:spPr>
          <c:marker>
            <c:symbol val="none"/>
          </c:marker>
          <c:xVal>
            <c:numRef>
              <c:f>'Input-data'!$B$60:$B$260</c:f>
              <c:numCache>
                <c:formatCode>0.00E+00</c:formatCode>
                <c:ptCount val="201"/>
                <c:pt idx="0">
                  <c:v>100000000</c:v>
                </c:pt>
                <c:pt idx="1">
                  <c:v>102300000</c:v>
                </c:pt>
                <c:pt idx="2">
                  <c:v>104700000</c:v>
                </c:pt>
                <c:pt idx="3">
                  <c:v>107200000</c:v>
                </c:pt>
                <c:pt idx="4">
                  <c:v>109600000</c:v>
                </c:pt>
                <c:pt idx="5">
                  <c:v>112200000</c:v>
                </c:pt>
                <c:pt idx="6">
                  <c:v>114800000</c:v>
                </c:pt>
                <c:pt idx="7">
                  <c:v>117500000</c:v>
                </c:pt>
                <c:pt idx="8">
                  <c:v>120200000</c:v>
                </c:pt>
                <c:pt idx="9">
                  <c:v>123000000</c:v>
                </c:pt>
                <c:pt idx="10">
                  <c:v>125900000</c:v>
                </c:pt>
                <c:pt idx="11">
                  <c:v>128800000</c:v>
                </c:pt>
                <c:pt idx="12">
                  <c:v>131800000</c:v>
                </c:pt>
                <c:pt idx="13">
                  <c:v>134900000</c:v>
                </c:pt>
                <c:pt idx="14">
                  <c:v>138000000</c:v>
                </c:pt>
                <c:pt idx="15">
                  <c:v>141300000</c:v>
                </c:pt>
                <c:pt idx="16">
                  <c:v>144500000</c:v>
                </c:pt>
                <c:pt idx="17">
                  <c:v>147900000</c:v>
                </c:pt>
                <c:pt idx="18">
                  <c:v>151400000</c:v>
                </c:pt>
                <c:pt idx="19">
                  <c:v>154900000</c:v>
                </c:pt>
                <c:pt idx="20">
                  <c:v>158500000</c:v>
                </c:pt>
                <c:pt idx="21">
                  <c:v>162200000</c:v>
                </c:pt>
                <c:pt idx="22">
                  <c:v>166000000</c:v>
                </c:pt>
                <c:pt idx="23">
                  <c:v>169800000</c:v>
                </c:pt>
                <c:pt idx="24">
                  <c:v>173800000</c:v>
                </c:pt>
                <c:pt idx="25">
                  <c:v>177800000</c:v>
                </c:pt>
                <c:pt idx="26">
                  <c:v>182000000</c:v>
                </c:pt>
                <c:pt idx="27">
                  <c:v>186200000</c:v>
                </c:pt>
                <c:pt idx="28">
                  <c:v>190500000</c:v>
                </c:pt>
                <c:pt idx="29">
                  <c:v>195000000</c:v>
                </c:pt>
                <c:pt idx="30">
                  <c:v>199500000</c:v>
                </c:pt>
                <c:pt idx="31">
                  <c:v>204200000</c:v>
                </c:pt>
                <c:pt idx="32">
                  <c:v>208900000</c:v>
                </c:pt>
                <c:pt idx="33">
                  <c:v>213800000</c:v>
                </c:pt>
                <c:pt idx="34">
                  <c:v>218800000</c:v>
                </c:pt>
                <c:pt idx="35">
                  <c:v>223900000</c:v>
                </c:pt>
                <c:pt idx="36">
                  <c:v>229100000</c:v>
                </c:pt>
                <c:pt idx="37">
                  <c:v>234400000</c:v>
                </c:pt>
                <c:pt idx="38">
                  <c:v>239900000</c:v>
                </c:pt>
                <c:pt idx="39">
                  <c:v>245500000</c:v>
                </c:pt>
                <c:pt idx="40">
                  <c:v>251200000</c:v>
                </c:pt>
                <c:pt idx="41">
                  <c:v>257000000</c:v>
                </c:pt>
                <c:pt idx="42">
                  <c:v>263000000</c:v>
                </c:pt>
                <c:pt idx="43">
                  <c:v>269200000</c:v>
                </c:pt>
                <c:pt idx="44">
                  <c:v>275400000</c:v>
                </c:pt>
                <c:pt idx="45">
                  <c:v>281800000</c:v>
                </c:pt>
                <c:pt idx="46">
                  <c:v>288400000</c:v>
                </c:pt>
                <c:pt idx="47">
                  <c:v>295100000</c:v>
                </c:pt>
                <c:pt idx="48">
                  <c:v>302000000</c:v>
                </c:pt>
                <c:pt idx="49">
                  <c:v>309000000</c:v>
                </c:pt>
                <c:pt idx="50">
                  <c:v>316200000</c:v>
                </c:pt>
                <c:pt idx="51">
                  <c:v>323600000</c:v>
                </c:pt>
                <c:pt idx="52">
                  <c:v>331100000</c:v>
                </c:pt>
                <c:pt idx="53">
                  <c:v>338800000</c:v>
                </c:pt>
                <c:pt idx="54">
                  <c:v>346700000</c:v>
                </c:pt>
                <c:pt idx="55">
                  <c:v>354800000</c:v>
                </c:pt>
                <c:pt idx="56">
                  <c:v>363100000</c:v>
                </c:pt>
                <c:pt idx="57">
                  <c:v>371500000</c:v>
                </c:pt>
                <c:pt idx="58">
                  <c:v>380200000</c:v>
                </c:pt>
                <c:pt idx="59">
                  <c:v>389000000</c:v>
                </c:pt>
                <c:pt idx="60">
                  <c:v>398100000</c:v>
                </c:pt>
                <c:pt idx="61">
                  <c:v>407400000</c:v>
                </c:pt>
                <c:pt idx="62">
                  <c:v>416900000</c:v>
                </c:pt>
                <c:pt idx="63">
                  <c:v>426600000</c:v>
                </c:pt>
                <c:pt idx="64">
                  <c:v>436500000</c:v>
                </c:pt>
                <c:pt idx="65">
                  <c:v>446700000</c:v>
                </c:pt>
                <c:pt idx="66">
                  <c:v>457100000</c:v>
                </c:pt>
                <c:pt idx="67">
                  <c:v>467700000</c:v>
                </c:pt>
                <c:pt idx="68">
                  <c:v>478600000</c:v>
                </c:pt>
                <c:pt idx="69">
                  <c:v>489800000</c:v>
                </c:pt>
                <c:pt idx="70">
                  <c:v>501200000</c:v>
                </c:pt>
                <c:pt idx="71">
                  <c:v>512900000</c:v>
                </c:pt>
                <c:pt idx="72">
                  <c:v>524800000</c:v>
                </c:pt>
                <c:pt idx="73">
                  <c:v>537000000</c:v>
                </c:pt>
                <c:pt idx="74">
                  <c:v>549500000</c:v>
                </c:pt>
                <c:pt idx="75">
                  <c:v>562300000</c:v>
                </c:pt>
                <c:pt idx="76">
                  <c:v>575400000</c:v>
                </c:pt>
                <c:pt idx="77">
                  <c:v>588800000</c:v>
                </c:pt>
                <c:pt idx="78">
                  <c:v>602600000</c:v>
                </c:pt>
                <c:pt idx="79">
                  <c:v>616600000</c:v>
                </c:pt>
                <c:pt idx="80">
                  <c:v>631000000</c:v>
                </c:pt>
                <c:pt idx="81">
                  <c:v>645700000</c:v>
                </c:pt>
                <c:pt idx="82">
                  <c:v>660700000</c:v>
                </c:pt>
                <c:pt idx="83">
                  <c:v>676100000</c:v>
                </c:pt>
                <c:pt idx="84">
                  <c:v>691800000</c:v>
                </c:pt>
                <c:pt idx="85">
                  <c:v>707900000</c:v>
                </c:pt>
                <c:pt idx="86">
                  <c:v>724400000</c:v>
                </c:pt>
                <c:pt idx="87">
                  <c:v>741300000</c:v>
                </c:pt>
                <c:pt idx="88">
                  <c:v>758600000</c:v>
                </c:pt>
                <c:pt idx="89">
                  <c:v>776200000</c:v>
                </c:pt>
                <c:pt idx="90">
                  <c:v>794300000</c:v>
                </c:pt>
                <c:pt idx="91">
                  <c:v>812800000</c:v>
                </c:pt>
                <c:pt idx="92">
                  <c:v>831800000</c:v>
                </c:pt>
                <c:pt idx="93">
                  <c:v>851100000</c:v>
                </c:pt>
                <c:pt idx="94">
                  <c:v>871000000</c:v>
                </c:pt>
                <c:pt idx="95">
                  <c:v>891300000</c:v>
                </c:pt>
                <c:pt idx="96">
                  <c:v>912000000</c:v>
                </c:pt>
                <c:pt idx="97">
                  <c:v>933300000</c:v>
                </c:pt>
                <c:pt idx="98">
                  <c:v>955000000</c:v>
                </c:pt>
                <c:pt idx="99">
                  <c:v>977200000</c:v>
                </c:pt>
                <c:pt idx="100">
                  <c:v>1000000000</c:v>
                </c:pt>
                <c:pt idx="101">
                  <c:v>1023000000</c:v>
                </c:pt>
                <c:pt idx="102">
                  <c:v>1047000000</c:v>
                </c:pt>
                <c:pt idx="103">
                  <c:v>1072000000</c:v>
                </c:pt>
                <c:pt idx="104">
                  <c:v>1096000000</c:v>
                </c:pt>
                <c:pt idx="105">
                  <c:v>1122000000</c:v>
                </c:pt>
                <c:pt idx="106">
                  <c:v>1148000000</c:v>
                </c:pt>
                <c:pt idx="107">
                  <c:v>1175000000</c:v>
                </c:pt>
                <c:pt idx="108">
                  <c:v>1202000000</c:v>
                </c:pt>
                <c:pt idx="109">
                  <c:v>1230000000</c:v>
                </c:pt>
                <c:pt idx="110">
                  <c:v>1259000000</c:v>
                </c:pt>
                <c:pt idx="111">
                  <c:v>1288000000</c:v>
                </c:pt>
                <c:pt idx="112">
                  <c:v>1318000000</c:v>
                </c:pt>
                <c:pt idx="113">
                  <c:v>1349000000</c:v>
                </c:pt>
                <c:pt idx="114">
                  <c:v>1380000000</c:v>
                </c:pt>
                <c:pt idx="115">
                  <c:v>1413000000</c:v>
                </c:pt>
                <c:pt idx="116">
                  <c:v>1445000000</c:v>
                </c:pt>
                <c:pt idx="117">
                  <c:v>1479000000</c:v>
                </c:pt>
                <c:pt idx="118">
                  <c:v>1514000000</c:v>
                </c:pt>
                <c:pt idx="119">
                  <c:v>1549000000</c:v>
                </c:pt>
                <c:pt idx="120">
                  <c:v>1585000000</c:v>
                </c:pt>
                <c:pt idx="121">
                  <c:v>1622000000</c:v>
                </c:pt>
                <c:pt idx="122">
                  <c:v>1660000000</c:v>
                </c:pt>
                <c:pt idx="123">
                  <c:v>1698000000</c:v>
                </c:pt>
                <c:pt idx="124">
                  <c:v>1738000000</c:v>
                </c:pt>
                <c:pt idx="125">
                  <c:v>1778000000</c:v>
                </c:pt>
                <c:pt idx="126">
                  <c:v>1820000000</c:v>
                </c:pt>
                <c:pt idx="127">
                  <c:v>1862000000</c:v>
                </c:pt>
                <c:pt idx="128">
                  <c:v>1905000000</c:v>
                </c:pt>
                <c:pt idx="129">
                  <c:v>1950000000</c:v>
                </c:pt>
                <c:pt idx="130">
                  <c:v>1995000000</c:v>
                </c:pt>
                <c:pt idx="131">
                  <c:v>2042000000</c:v>
                </c:pt>
                <c:pt idx="132">
                  <c:v>2089000000</c:v>
                </c:pt>
                <c:pt idx="133">
                  <c:v>2138000000</c:v>
                </c:pt>
                <c:pt idx="134">
                  <c:v>2188000000</c:v>
                </c:pt>
                <c:pt idx="135">
                  <c:v>2239000000</c:v>
                </c:pt>
                <c:pt idx="136">
                  <c:v>2291000000</c:v>
                </c:pt>
                <c:pt idx="137">
                  <c:v>2344000000</c:v>
                </c:pt>
                <c:pt idx="138">
                  <c:v>2399000000</c:v>
                </c:pt>
                <c:pt idx="139">
                  <c:v>2455000000</c:v>
                </c:pt>
                <c:pt idx="140">
                  <c:v>2512000000</c:v>
                </c:pt>
                <c:pt idx="141">
                  <c:v>2570000000</c:v>
                </c:pt>
                <c:pt idx="142">
                  <c:v>2630000000</c:v>
                </c:pt>
                <c:pt idx="143">
                  <c:v>2692000000</c:v>
                </c:pt>
                <c:pt idx="144">
                  <c:v>2754000000</c:v>
                </c:pt>
                <c:pt idx="145">
                  <c:v>2818000000</c:v>
                </c:pt>
                <c:pt idx="146">
                  <c:v>2884000000</c:v>
                </c:pt>
                <c:pt idx="147">
                  <c:v>2951000000</c:v>
                </c:pt>
                <c:pt idx="148">
                  <c:v>3020000000</c:v>
                </c:pt>
                <c:pt idx="149">
                  <c:v>3090000000</c:v>
                </c:pt>
                <c:pt idx="150">
                  <c:v>3162000000</c:v>
                </c:pt>
                <c:pt idx="151">
                  <c:v>3236000000</c:v>
                </c:pt>
                <c:pt idx="152">
                  <c:v>3311000000</c:v>
                </c:pt>
                <c:pt idx="153">
                  <c:v>3388000000</c:v>
                </c:pt>
                <c:pt idx="154">
                  <c:v>3467000000</c:v>
                </c:pt>
                <c:pt idx="155">
                  <c:v>3548000000</c:v>
                </c:pt>
                <c:pt idx="156">
                  <c:v>3631000000</c:v>
                </c:pt>
                <c:pt idx="157">
                  <c:v>3715000000</c:v>
                </c:pt>
                <c:pt idx="158">
                  <c:v>3802000000</c:v>
                </c:pt>
                <c:pt idx="159">
                  <c:v>3890000000</c:v>
                </c:pt>
                <c:pt idx="160">
                  <c:v>3981000000</c:v>
                </c:pt>
                <c:pt idx="161">
                  <c:v>4074000000</c:v>
                </c:pt>
                <c:pt idx="162">
                  <c:v>4169000000</c:v>
                </c:pt>
                <c:pt idx="163">
                  <c:v>4266000000</c:v>
                </c:pt>
                <c:pt idx="164">
                  <c:v>4365000000</c:v>
                </c:pt>
                <c:pt idx="165">
                  <c:v>4467000000</c:v>
                </c:pt>
                <c:pt idx="166">
                  <c:v>4571000000</c:v>
                </c:pt>
                <c:pt idx="167">
                  <c:v>4677000000</c:v>
                </c:pt>
                <c:pt idx="168">
                  <c:v>4786000000</c:v>
                </c:pt>
                <c:pt idx="169">
                  <c:v>4898000000</c:v>
                </c:pt>
                <c:pt idx="170">
                  <c:v>5012000000</c:v>
                </c:pt>
                <c:pt idx="171">
                  <c:v>5129000000</c:v>
                </c:pt>
                <c:pt idx="172">
                  <c:v>5248000000</c:v>
                </c:pt>
                <c:pt idx="173">
                  <c:v>5370000000</c:v>
                </c:pt>
                <c:pt idx="174">
                  <c:v>5495000000</c:v>
                </c:pt>
                <c:pt idx="175">
                  <c:v>5623000000</c:v>
                </c:pt>
                <c:pt idx="176">
                  <c:v>5754000000</c:v>
                </c:pt>
                <c:pt idx="177">
                  <c:v>5888000000</c:v>
                </c:pt>
                <c:pt idx="178">
                  <c:v>6026000000</c:v>
                </c:pt>
                <c:pt idx="179">
                  <c:v>6166000000</c:v>
                </c:pt>
                <c:pt idx="180">
                  <c:v>6310000000</c:v>
                </c:pt>
                <c:pt idx="181">
                  <c:v>6457000000</c:v>
                </c:pt>
                <c:pt idx="182">
                  <c:v>6607000000</c:v>
                </c:pt>
                <c:pt idx="183">
                  <c:v>6761000000</c:v>
                </c:pt>
                <c:pt idx="184">
                  <c:v>6918000000</c:v>
                </c:pt>
                <c:pt idx="185">
                  <c:v>7079000000</c:v>
                </c:pt>
                <c:pt idx="186">
                  <c:v>7244000000</c:v>
                </c:pt>
                <c:pt idx="187">
                  <c:v>7413000000</c:v>
                </c:pt>
                <c:pt idx="188">
                  <c:v>7586000000</c:v>
                </c:pt>
                <c:pt idx="189">
                  <c:v>7762000000</c:v>
                </c:pt>
                <c:pt idx="190">
                  <c:v>7943000000</c:v>
                </c:pt>
                <c:pt idx="191">
                  <c:v>8128000000</c:v>
                </c:pt>
                <c:pt idx="192">
                  <c:v>8318000000</c:v>
                </c:pt>
                <c:pt idx="193">
                  <c:v>8511000000</c:v>
                </c:pt>
                <c:pt idx="194">
                  <c:v>8710000000</c:v>
                </c:pt>
                <c:pt idx="195">
                  <c:v>8913000000</c:v>
                </c:pt>
                <c:pt idx="196">
                  <c:v>9120000000</c:v>
                </c:pt>
                <c:pt idx="197">
                  <c:v>9333000000</c:v>
                </c:pt>
                <c:pt idx="198">
                  <c:v>9550000000</c:v>
                </c:pt>
                <c:pt idx="199">
                  <c:v>9772000000</c:v>
                </c:pt>
                <c:pt idx="200">
                  <c:v>10000000000</c:v>
                </c:pt>
              </c:numCache>
            </c:numRef>
          </c:xVal>
          <c:yVal>
            <c:numRef>
              <c:f>'Input-data'!$U$60:$U$260</c:f>
              <c:numCache>
                <c:formatCode>0.0E+00</c:formatCode>
                <c:ptCount val="201"/>
                <c:pt idx="0">
                  <c:v>-36.070242652488275</c:v>
                </c:pt>
                <c:pt idx="1">
                  <c:v>-36.070242652488275</c:v>
                </c:pt>
                <c:pt idx="2">
                  <c:v>-36.070242652488275</c:v>
                </c:pt>
                <c:pt idx="3">
                  <c:v>-35.870092996630206</c:v>
                </c:pt>
                <c:pt idx="4">
                  <c:v>-35.67076880924774</c:v>
                </c:pt>
                <c:pt idx="5">
                  <c:v>-35.470516892031483</c:v>
                </c:pt>
                <c:pt idx="6">
                  <c:v>-35.270381443551827</c:v>
                </c:pt>
                <c:pt idx="7">
                  <c:v>-35.067879937341992</c:v>
                </c:pt>
                <c:pt idx="8">
                  <c:v>-34.872512987564136</c:v>
                </c:pt>
                <c:pt idx="9">
                  <c:v>-34.673232525714177</c:v>
                </c:pt>
                <c:pt idx="10">
                  <c:v>-34.470400350413939</c:v>
                </c:pt>
                <c:pt idx="11">
                  <c:v>-34.272198408423307</c:v>
                </c:pt>
                <c:pt idx="12">
                  <c:v>-34.070758221018252</c:v>
                </c:pt>
                <c:pt idx="13">
                  <c:v>-33.873885784943184</c:v>
                </c:pt>
                <c:pt idx="14">
                  <c:v>-33.674059122627121</c:v>
                </c:pt>
                <c:pt idx="15">
                  <c:v>-33.471577592942474</c:v>
                </c:pt>
                <c:pt idx="16">
                  <c:v>-33.273710906006627</c:v>
                </c:pt>
                <c:pt idx="17">
                  <c:v>-33.073423385237561</c:v>
                </c:pt>
                <c:pt idx="18">
                  <c:v>-32.870979977044456</c:v>
                </c:pt>
                <c:pt idx="19">
                  <c:v>-32.673149984117622</c:v>
                </c:pt>
                <c:pt idx="20">
                  <c:v>-32.473354164298868</c:v>
                </c:pt>
                <c:pt idx="21">
                  <c:v>-32.271826043318356</c:v>
                </c:pt>
                <c:pt idx="22">
                  <c:v>-32.074870499868695</c:v>
                </c:pt>
                <c:pt idx="23">
                  <c:v>-31.870388960967521</c:v>
                </c:pt>
                <c:pt idx="24">
                  <c:v>-31.670613718356066</c:v>
                </c:pt>
                <c:pt idx="25">
                  <c:v>-31.475333129872865</c:v>
                </c:pt>
                <c:pt idx="26">
                  <c:v>-31.273245100550962</c:v>
                </c:pt>
                <c:pt idx="27">
                  <c:v>-31.075755503508535</c:v>
                </c:pt>
                <c:pt idx="28">
                  <c:v>-30.872057389452291</c:v>
                </c:pt>
                <c:pt idx="29">
                  <c:v>-30.673030737410269</c:v>
                </c:pt>
                <c:pt idx="30">
                  <c:v>-30.473404627016745</c:v>
                </c:pt>
                <c:pt idx="31">
                  <c:v>-30.273321276067144</c:v>
                </c:pt>
                <c:pt idx="32">
                  <c:v>-30.072914188558663</c:v>
                </c:pt>
                <c:pt idx="33">
                  <c:v>-29.872308450245431</c:v>
                </c:pt>
                <c:pt idx="34">
                  <c:v>-29.676235934720289</c:v>
                </c:pt>
                <c:pt idx="35">
                  <c:v>-29.475470992124258</c:v>
                </c:pt>
                <c:pt idx="36">
                  <c:v>-29.274838406279994</c:v>
                </c:pt>
                <c:pt idx="37">
                  <c:v>-29.07443319646195</c:v>
                </c:pt>
                <c:pt idx="38">
                  <c:v>-28.874343704133864</c:v>
                </c:pt>
                <c:pt idx="39">
                  <c:v>-28.674651913443938</c:v>
                </c:pt>
                <c:pt idx="40">
                  <c:v>-28.475433780113185</c:v>
                </c:pt>
                <c:pt idx="41">
                  <c:v>-28.276759625867044</c:v>
                </c:pt>
                <c:pt idx="42">
                  <c:v>-28.078694315478945</c:v>
                </c:pt>
                <c:pt idx="43">
                  <c:v>-27.87754537433873</c:v>
                </c:pt>
                <c:pt idx="44">
                  <c:v>-27.677289974695629</c:v>
                </c:pt>
                <c:pt idx="45">
                  <c:v>-27.477971792273379</c:v>
                </c:pt>
                <c:pt idx="46">
                  <c:v>-27.279630516310615</c:v>
                </c:pt>
                <c:pt idx="47">
                  <c:v>-27.078879984231072</c:v>
                </c:pt>
                <c:pt idx="48">
                  <c:v>-26.879329056869242</c:v>
                </c:pt>
                <c:pt idx="49">
                  <c:v>-26.681000273580857</c:v>
                </c:pt>
                <c:pt idx="50">
                  <c:v>-26.4807195396547</c:v>
                </c:pt>
                <c:pt idx="51">
                  <c:v>-26.28184153731916</c:v>
                </c:pt>
                <c:pt idx="52">
                  <c:v>-26.081324589801902</c:v>
                </c:pt>
                <c:pt idx="53">
                  <c:v>-25.882362709882074</c:v>
                </c:pt>
                <c:pt idx="54">
                  <c:v>-25.684954001089693</c:v>
                </c:pt>
                <c:pt idx="55">
                  <c:v>-25.483401640617743</c:v>
                </c:pt>
                <c:pt idx="56">
                  <c:v>-25.286432923273587</c:v>
                </c:pt>
                <c:pt idx="57">
                  <c:v>-25.085685947348978</c:v>
                </c:pt>
                <c:pt idx="58">
                  <c:v>-24.886830662662266</c:v>
                </c:pt>
                <c:pt idx="59">
                  <c:v>-24.687246793474671</c:v>
                </c:pt>
                <c:pt idx="60">
                  <c:v>-24.489623163504859</c:v>
                </c:pt>
                <c:pt idx="61">
                  <c:v>-24.288970350434301</c:v>
                </c:pt>
                <c:pt idx="62">
                  <c:v>-24.090441586078185</c:v>
                </c:pt>
                <c:pt idx="63">
                  <c:v>-23.891628746132842</c:v>
                </c:pt>
                <c:pt idx="64">
                  <c:v>-23.692653283201096</c:v>
                </c:pt>
                <c:pt idx="65">
                  <c:v>-23.493628511665531</c:v>
                </c:pt>
                <c:pt idx="66">
                  <c:v>-23.294660344450989</c:v>
                </c:pt>
                <c:pt idx="67">
                  <c:v>-23.095848009313194</c:v>
                </c:pt>
                <c:pt idx="68">
                  <c:v>-22.897283342025357</c:v>
                </c:pt>
                <c:pt idx="69">
                  <c:v>-22.699052531602145</c:v>
                </c:pt>
                <c:pt idx="70">
                  <c:v>-22.499219103528198</c:v>
                </c:pt>
                <c:pt idx="71">
                  <c:v>-22.301934256312389</c:v>
                </c:pt>
                <c:pt idx="72">
                  <c:v>-22.103278403622134</c:v>
                </c:pt>
                <c:pt idx="73">
                  <c:v>-21.903445962577301</c:v>
                </c:pt>
                <c:pt idx="74">
                  <c:v>-21.70629708445583</c:v>
                </c:pt>
                <c:pt idx="75">
                  <c:v>-21.506363509166864</c:v>
                </c:pt>
                <c:pt idx="76">
                  <c:v>-21.309203584975354</c:v>
                </c:pt>
                <c:pt idx="77">
                  <c:v>-21.111301475250531</c:v>
                </c:pt>
                <c:pt idx="78">
                  <c:v>-20.912809128190343</c:v>
                </c:pt>
                <c:pt idx="79">
                  <c:v>-20.713869126100832</c:v>
                </c:pt>
                <c:pt idx="80">
                  <c:v>-20.516217116544972</c:v>
                </c:pt>
                <c:pt idx="81">
                  <c:v>-20.318304362028485</c:v>
                </c:pt>
                <c:pt idx="82">
                  <c:v>-20.12178101150278</c:v>
                </c:pt>
                <c:pt idx="83">
                  <c:v>-19.923665454211474</c:v>
                </c:pt>
                <c:pt idx="84">
                  <c:v>-19.725628451459844</c:v>
                </c:pt>
                <c:pt idx="85">
                  <c:v>-19.527768463907318</c:v>
                </c:pt>
                <c:pt idx="86">
                  <c:v>-19.331572427862728</c:v>
                </c:pt>
                <c:pt idx="87">
                  <c:v>-19.134303621120111</c:v>
                </c:pt>
                <c:pt idx="88">
                  <c:v>-18.936136738124986</c:v>
                </c:pt>
                <c:pt idx="89">
                  <c:v>-18.739840720066937</c:v>
                </c:pt>
                <c:pt idx="90">
                  <c:v>-18.542847674664088</c:v>
                </c:pt>
                <c:pt idx="91">
                  <c:v>-18.345307397295922</c:v>
                </c:pt>
                <c:pt idx="92">
                  <c:v>-18.149791886885524</c:v>
                </c:pt>
                <c:pt idx="93">
                  <c:v>-17.952704139315337</c:v>
                </c:pt>
                <c:pt idx="94">
                  <c:v>-17.756575074105065</c:v>
                </c:pt>
                <c:pt idx="95">
                  <c:v>-17.560309465486988</c:v>
                </c:pt>
                <c:pt idx="96">
                  <c:v>-17.364019980736618</c:v>
                </c:pt>
                <c:pt idx="97">
                  <c:v>-17.167812213527647</c:v>
                </c:pt>
                <c:pt idx="98">
                  <c:v>-16.972843935316945</c:v>
                </c:pt>
                <c:pt idx="99">
                  <c:v>-16.777065487692891</c:v>
                </c:pt>
                <c:pt idx="100">
                  <c:v>-16.581646364571579</c:v>
                </c:pt>
                <c:pt idx="101">
                  <c:v>-16.385678579166903</c:v>
                </c:pt>
                <c:pt idx="102">
                  <c:v>-16.191235355812928</c:v>
                </c:pt>
                <c:pt idx="103">
                  <c:v>-15.996431334037403</c:v>
                </c:pt>
                <c:pt idx="104">
                  <c:v>-15.801394269181898</c:v>
                </c:pt>
                <c:pt idx="105">
                  <c:v>-15.607146743690663</c:v>
                </c:pt>
                <c:pt idx="106">
                  <c:v>-15.412859363376466</c:v>
                </c:pt>
                <c:pt idx="107">
                  <c:v>-15.218640056761501</c:v>
                </c:pt>
                <c:pt idx="108">
                  <c:v>-15.027955641176989</c:v>
                </c:pt>
                <c:pt idx="109">
                  <c:v>-14.828336260760613</c:v>
                </c:pt>
                <c:pt idx="110">
                  <c:v>-14.641384921778947</c:v>
                </c:pt>
                <c:pt idx="111">
                  <c:v>-14.442794959580858</c:v>
                </c:pt>
                <c:pt idx="112">
                  <c:v>-14.248805641021892</c:v>
                </c:pt>
                <c:pt idx="113">
                  <c:v>-14.059216248203128</c:v>
                </c:pt>
                <c:pt idx="114">
                  <c:v>-13.866508550447991</c:v>
                </c:pt>
                <c:pt idx="115">
                  <c:v>-13.678158783024406</c:v>
                </c:pt>
                <c:pt idx="116">
                  <c:v>-13.486979068509847</c:v>
                </c:pt>
                <c:pt idx="117">
                  <c:v>-13.293264293723636</c:v>
                </c:pt>
                <c:pt idx="118">
                  <c:v>-13.103978888239743</c:v>
                </c:pt>
                <c:pt idx="119">
                  <c:v>-12.912400925052376</c:v>
                </c:pt>
                <c:pt idx="120">
                  <c:v>-12.718793918633722</c:v>
                </c:pt>
                <c:pt idx="121">
                  <c:v>-12.529642039447991</c:v>
                </c:pt>
                <c:pt idx="122">
                  <c:v>-12.344755500663886</c:v>
                </c:pt>
                <c:pt idx="123">
                  <c:v>-12.152042030075961</c:v>
                </c:pt>
                <c:pt idx="124">
                  <c:v>-11.963777324989618</c:v>
                </c:pt>
                <c:pt idx="125">
                  <c:v>-11.77977309052266</c:v>
                </c:pt>
                <c:pt idx="126">
                  <c:v>-11.588736351316729</c:v>
                </c:pt>
                <c:pt idx="127">
                  <c:v>-11.4021116020502</c:v>
                </c:pt>
                <c:pt idx="128">
                  <c:v>-11.219712541153129</c:v>
                </c:pt>
                <c:pt idx="129">
                  <c:v>-11.030994930844631</c:v>
                </c:pt>
                <c:pt idx="130">
                  <c:v>-10.846626970432499</c:v>
                </c:pt>
                <c:pt idx="131">
                  <c:v>-10.661479250217242</c:v>
                </c:pt>
                <c:pt idx="132">
                  <c:v>-10.480551589831235</c:v>
                </c:pt>
                <c:pt idx="133">
                  <c:v>-10.298944543459719</c:v>
                </c:pt>
                <c:pt idx="134">
                  <c:v>-10.11681354934246</c:v>
                </c:pt>
                <c:pt idx="135">
                  <c:v>-9.9343060308662174</c:v>
                </c:pt>
                <c:pt idx="136">
                  <c:v>-9.7559701966254</c:v>
                </c:pt>
                <c:pt idx="137">
                  <c:v>-9.5773284905278189</c:v>
                </c:pt>
                <c:pt idx="138">
                  <c:v>-9.3985129668081129</c:v>
                </c:pt>
                <c:pt idx="139">
                  <c:v>-9.2196493146171008</c:v>
                </c:pt>
                <c:pt idx="140">
                  <c:v>-9.0448746117633938</c:v>
                </c:pt>
                <c:pt idx="141">
                  <c:v>-8.8700991476380739</c:v>
                </c:pt>
                <c:pt idx="142">
                  <c:v>-8.6992733056266864</c:v>
                </c:pt>
                <c:pt idx="143">
                  <c:v>-8.5284913616934901</c:v>
                </c:pt>
                <c:pt idx="144">
                  <c:v>-8.3578600214464114</c:v>
                </c:pt>
                <c:pt idx="145">
                  <c:v>-8.1874811168152473</c:v>
                </c:pt>
                <c:pt idx="146">
                  <c:v>-8.0174512271419669</c:v>
                </c:pt>
                <c:pt idx="147">
                  <c:v>-7.8512833048507265</c:v>
                </c:pt>
                <c:pt idx="148">
                  <c:v>-7.6854875543670333</c:v>
                </c:pt>
                <c:pt idx="149">
                  <c:v>-7.5234197880781384</c:v>
                </c:pt>
                <c:pt idx="150">
                  <c:v>-7.3617473795217041</c:v>
                </c:pt>
                <c:pt idx="151">
                  <c:v>-7.2005538211603204</c:v>
                </c:pt>
                <c:pt idx="152">
                  <c:v>-7.0399191350225099</c:v>
                </c:pt>
                <c:pt idx="153">
                  <c:v>-6.8799194695142294</c:v>
                </c:pt>
                <c:pt idx="154">
                  <c:v>-6.7235436061130205</c:v>
                </c:pt>
                <c:pt idx="155">
                  <c:v>-6.5678113967271248</c:v>
                </c:pt>
                <c:pt idx="156">
                  <c:v>-6.4127945192392044</c:v>
                </c:pt>
                <c:pt idx="157">
                  <c:v>-6.261281063029732</c:v>
                </c:pt>
                <c:pt idx="158">
                  <c:v>-6.1078292836243664</c:v>
                </c:pt>
                <c:pt idx="159">
                  <c:v>-5.9578853648647314</c:v>
                </c:pt>
                <c:pt idx="160">
                  <c:v>-5.8087894828214957</c:v>
                </c:pt>
                <c:pt idx="161" formatCode="General">
                  <c:v>-5.6606016047216006</c:v>
                </c:pt>
                <c:pt idx="162" formatCode="General">
                  <c:v>-5.5133784059469795</c:v>
                </c:pt>
                <c:pt idx="163" formatCode="General">
                  <c:v>-5.3695469126476967</c:v>
                </c:pt>
                <c:pt idx="164" formatCode="General">
                  <c:v>-5.2266797794372399</c:v>
                </c:pt>
                <c:pt idx="165" formatCode="General">
                  <c:v>-5.0870940498125172</c:v>
                </c:pt>
                <c:pt idx="166" formatCode="General">
                  <c:v>-4.9462647395733219</c:v>
                </c:pt>
                <c:pt idx="167" formatCode="General">
                  <c:v>-4.810874885356883</c:v>
                </c:pt>
                <c:pt idx="168" formatCode="General">
                  <c:v>-4.6764559210514127</c:v>
                </c:pt>
                <c:pt idx="169" formatCode="General">
                  <c:v>-4.545121366272328</c:v>
                </c:pt>
                <c:pt idx="170" formatCode="General">
                  <c:v>-4.4167767679159304</c:v>
                </c:pt>
                <c:pt idx="171" formatCode="General">
                  <c:v>-4.2913363639339188</c:v>
                </c:pt>
                <c:pt idx="172" formatCode="General">
                  <c:v>-4.1667921584242258</c:v>
                </c:pt>
                <c:pt idx="173" formatCode="General">
                  <c:v>-4.0469566290444963</c:v>
                </c:pt>
                <c:pt idx="174" formatCode="General">
                  <c:v>-3.9279495294434081</c:v>
                </c:pt>
                <c:pt idx="175" formatCode="General">
                  <c:v>-3.8116190909584362</c:v>
                </c:pt>
                <c:pt idx="176" formatCode="General">
                  <c:v>-3.6978961168920685</c:v>
                </c:pt>
                <c:pt idx="177" formatCode="General">
                  <c:v>-3.586713665443976</c:v>
                </c:pt>
                <c:pt idx="178" formatCode="General">
                  <c:v>-3.4763287000552183</c:v>
                </c:pt>
                <c:pt idx="179" formatCode="General">
                  <c:v>-3.3684319963536198</c:v>
                </c:pt>
                <c:pt idx="180" formatCode="General">
                  <c:v>-3.2613612387075976</c:v>
                </c:pt>
                <c:pt idx="181" formatCode="General">
                  <c:v>-3.1567318603639967</c:v>
                </c:pt>
                <c:pt idx="182" formatCode="General">
                  <c:v>-3.0529552706868035</c:v>
                </c:pt>
                <c:pt idx="183" formatCode="General">
                  <c:v>-2.9515767838856597</c:v>
                </c:pt>
                <c:pt idx="184" formatCode="General">
                  <c:v>-2.8510799358642154</c:v>
                </c:pt>
                <c:pt idx="185" formatCode="General">
                  <c:v>-2.7543702934843632</c:v>
                </c:pt>
                <c:pt idx="186" formatCode="General">
                  <c:v>-2.6599007614619534</c:v>
                </c:pt>
                <c:pt idx="187" formatCode="General">
                  <c:v>-2.567623067138495</c:v>
                </c:pt>
                <c:pt idx="188" formatCode="General">
                  <c:v>-2.480152317291501</c:v>
                </c:pt>
                <c:pt idx="189" formatCode="General">
                  <c:v>-2.3946596990403219</c:v>
                </c:pt>
                <c:pt idx="190" formatCode="General">
                  <c:v>-2.3123773426704921</c:v>
                </c:pt>
                <c:pt idx="191" formatCode="General">
                  <c:v>-2.2331825349193926</c:v>
                </c:pt>
                <c:pt idx="192" formatCode="General">
                  <c:v>-2.1569584432000095</c:v>
                </c:pt>
                <c:pt idx="193" formatCode="General">
                  <c:v>-2.0812188423075635</c:v>
                </c:pt>
                <c:pt idx="194" formatCode="General">
                  <c:v>-2.0071763122362269</c:v>
                </c:pt>
                <c:pt idx="195" formatCode="General">
                  <c:v>-1.9348012317560235</c:v>
                </c:pt>
                <c:pt idx="196" formatCode="General">
                  <c:v>-1.8629563662793598</c:v>
                </c:pt>
                <c:pt idx="197" formatCode="General">
                  <c:v>-1.79169045194599</c:v>
                </c:pt>
                <c:pt idx="198" formatCode="General">
                  <c:v>-1.7221116195709263</c:v>
                </c:pt>
                <c:pt idx="199" formatCode="General">
                  <c:v>-1.6552271219521302</c:v>
                </c:pt>
                <c:pt idx="200" formatCode="General">
                  <c:v>-1.5919493293982054</c:v>
                </c:pt>
              </c:numCache>
            </c:numRef>
          </c:yVal>
          <c:smooth val="0"/>
          <c:extLst>
            <c:ext xmlns:c16="http://schemas.microsoft.com/office/drawing/2014/chart" uri="{C3380CC4-5D6E-409C-BE32-E72D297353CC}">
              <c16:uniqueId val="{00000000-F2DB-40C3-8723-C8886B966B3A}"/>
            </c:ext>
          </c:extLst>
        </c:ser>
        <c:ser>
          <c:idx val="3"/>
          <c:order val="3"/>
          <c:tx>
            <c:strRef>
              <c:f>'Input-data'!$Y$59</c:f>
              <c:strCache>
                <c:ptCount val="1"/>
                <c:pt idx="0">
                  <c:v>S22</c:v>
                </c:pt>
              </c:strCache>
            </c:strRef>
          </c:tx>
          <c:spPr>
            <a:ln w="25400">
              <a:solidFill>
                <a:schemeClr val="tx1"/>
              </a:solidFill>
              <a:prstDash val="solid"/>
            </a:ln>
          </c:spPr>
          <c:marker>
            <c:symbol val="none"/>
          </c:marker>
          <c:xVal>
            <c:numRef>
              <c:f>'Input-data'!$B$60:$B$260</c:f>
              <c:numCache>
                <c:formatCode>0.00E+00</c:formatCode>
                <c:ptCount val="201"/>
                <c:pt idx="0">
                  <c:v>100000000</c:v>
                </c:pt>
                <c:pt idx="1">
                  <c:v>102300000</c:v>
                </c:pt>
                <c:pt idx="2">
                  <c:v>104700000</c:v>
                </c:pt>
                <c:pt idx="3">
                  <c:v>107200000</c:v>
                </c:pt>
                <c:pt idx="4">
                  <c:v>109600000</c:v>
                </c:pt>
                <c:pt idx="5">
                  <c:v>112200000</c:v>
                </c:pt>
                <c:pt idx="6">
                  <c:v>114800000</c:v>
                </c:pt>
                <c:pt idx="7">
                  <c:v>117500000</c:v>
                </c:pt>
                <c:pt idx="8">
                  <c:v>120200000</c:v>
                </c:pt>
                <c:pt idx="9">
                  <c:v>123000000</c:v>
                </c:pt>
                <c:pt idx="10">
                  <c:v>125900000</c:v>
                </c:pt>
                <c:pt idx="11">
                  <c:v>128800000</c:v>
                </c:pt>
                <c:pt idx="12">
                  <c:v>131800000</c:v>
                </c:pt>
                <c:pt idx="13">
                  <c:v>134900000</c:v>
                </c:pt>
                <c:pt idx="14">
                  <c:v>138000000</c:v>
                </c:pt>
                <c:pt idx="15">
                  <c:v>141300000</c:v>
                </c:pt>
                <c:pt idx="16">
                  <c:v>144500000</c:v>
                </c:pt>
                <c:pt idx="17">
                  <c:v>147900000</c:v>
                </c:pt>
                <c:pt idx="18">
                  <c:v>151400000</c:v>
                </c:pt>
                <c:pt idx="19">
                  <c:v>154900000</c:v>
                </c:pt>
                <c:pt idx="20">
                  <c:v>158500000</c:v>
                </c:pt>
                <c:pt idx="21">
                  <c:v>162200000</c:v>
                </c:pt>
                <c:pt idx="22">
                  <c:v>166000000</c:v>
                </c:pt>
                <c:pt idx="23">
                  <c:v>169800000</c:v>
                </c:pt>
                <c:pt idx="24">
                  <c:v>173800000</c:v>
                </c:pt>
                <c:pt idx="25">
                  <c:v>177800000</c:v>
                </c:pt>
                <c:pt idx="26">
                  <c:v>182000000</c:v>
                </c:pt>
                <c:pt idx="27">
                  <c:v>186200000</c:v>
                </c:pt>
                <c:pt idx="28">
                  <c:v>190500000</c:v>
                </c:pt>
                <c:pt idx="29">
                  <c:v>195000000</c:v>
                </c:pt>
                <c:pt idx="30">
                  <c:v>199500000</c:v>
                </c:pt>
                <c:pt idx="31">
                  <c:v>204200000</c:v>
                </c:pt>
                <c:pt idx="32">
                  <c:v>208900000</c:v>
                </c:pt>
                <c:pt idx="33">
                  <c:v>213800000</c:v>
                </c:pt>
                <c:pt idx="34">
                  <c:v>218800000</c:v>
                </c:pt>
                <c:pt idx="35">
                  <c:v>223900000</c:v>
                </c:pt>
                <c:pt idx="36">
                  <c:v>229100000</c:v>
                </c:pt>
                <c:pt idx="37">
                  <c:v>234400000</c:v>
                </c:pt>
                <c:pt idx="38">
                  <c:v>239900000</c:v>
                </c:pt>
                <c:pt idx="39">
                  <c:v>245500000</c:v>
                </c:pt>
                <c:pt idx="40">
                  <c:v>251200000</c:v>
                </c:pt>
                <c:pt idx="41">
                  <c:v>257000000</c:v>
                </c:pt>
                <c:pt idx="42">
                  <c:v>263000000</c:v>
                </c:pt>
                <c:pt idx="43">
                  <c:v>269200000</c:v>
                </c:pt>
                <c:pt idx="44">
                  <c:v>275400000</c:v>
                </c:pt>
                <c:pt idx="45">
                  <c:v>281800000</c:v>
                </c:pt>
                <c:pt idx="46">
                  <c:v>288400000</c:v>
                </c:pt>
                <c:pt idx="47">
                  <c:v>295100000</c:v>
                </c:pt>
                <c:pt idx="48">
                  <c:v>302000000</c:v>
                </c:pt>
                <c:pt idx="49">
                  <c:v>309000000</c:v>
                </c:pt>
                <c:pt idx="50">
                  <c:v>316200000</c:v>
                </c:pt>
                <c:pt idx="51">
                  <c:v>323600000</c:v>
                </c:pt>
                <c:pt idx="52">
                  <c:v>331100000</c:v>
                </c:pt>
                <c:pt idx="53">
                  <c:v>338800000</c:v>
                </c:pt>
                <c:pt idx="54">
                  <c:v>346700000</c:v>
                </c:pt>
                <c:pt idx="55">
                  <c:v>354800000</c:v>
                </c:pt>
                <c:pt idx="56">
                  <c:v>363100000</c:v>
                </c:pt>
                <c:pt idx="57">
                  <c:v>371500000</c:v>
                </c:pt>
                <c:pt idx="58">
                  <c:v>380200000</c:v>
                </c:pt>
                <c:pt idx="59">
                  <c:v>389000000</c:v>
                </c:pt>
                <c:pt idx="60">
                  <c:v>398100000</c:v>
                </c:pt>
                <c:pt idx="61">
                  <c:v>407400000</c:v>
                </c:pt>
                <c:pt idx="62">
                  <c:v>416900000</c:v>
                </c:pt>
                <c:pt idx="63">
                  <c:v>426600000</c:v>
                </c:pt>
                <c:pt idx="64">
                  <c:v>436500000</c:v>
                </c:pt>
                <c:pt idx="65">
                  <c:v>446700000</c:v>
                </c:pt>
                <c:pt idx="66">
                  <c:v>457100000</c:v>
                </c:pt>
                <c:pt idx="67">
                  <c:v>467700000</c:v>
                </c:pt>
                <c:pt idx="68">
                  <c:v>478600000</c:v>
                </c:pt>
                <c:pt idx="69">
                  <c:v>489800000</c:v>
                </c:pt>
                <c:pt idx="70">
                  <c:v>501200000</c:v>
                </c:pt>
                <c:pt idx="71">
                  <c:v>512900000</c:v>
                </c:pt>
                <c:pt idx="72">
                  <c:v>524800000</c:v>
                </c:pt>
                <c:pt idx="73">
                  <c:v>537000000</c:v>
                </c:pt>
                <c:pt idx="74">
                  <c:v>549500000</c:v>
                </c:pt>
                <c:pt idx="75">
                  <c:v>562300000</c:v>
                </c:pt>
                <c:pt idx="76">
                  <c:v>575400000</c:v>
                </c:pt>
                <c:pt idx="77">
                  <c:v>588800000</c:v>
                </c:pt>
                <c:pt idx="78">
                  <c:v>602600000</c:v>
                </c:pt>
                <c:pt idx="79">
                  <c:v>616600000</c:v>
                </c:pt>
                <c:pt idx="80">
                  <c:v>631000000</c:v>
                </c:pt>
                <c:pt idx="81">
                  <c:v>645700000</c:v>
                </c:pt>
                <c:pt idx="82">
                  <c:v>660700000</c:v>
                </c:pt>
                <c:pt idx="83">
                  <c:v>676100000</c:v>
                </c:pt>
                <c:pt idx="84">
                  <c:v>691800000</c:v>
                </c:pt>
                <c:pt idx="85">
                  <c:v>707900000</c:v>
                </c:pt>
                <c:pt idx="86">
                  <c:v>724400000</c:v>
                </c:pt>
                <c:pt idx="87">
                  <c:v>741300000</c:v>
                </c:pt>
                <c:pt idx="88">
                  <c:v>758600000</c:v>
                </c:pt>
                <c:pt idx="89">
                  <c:v>776200000</c:v>
                </c:pt>
                <c:pt idx="90">
                  <c:v>794300000</c:v>
                </c:pt>
                <c:pt idx="91">
                  <c:v>812800000</c:v>
                </c:pt>
                <c:pt idx="92">
                  <c:v>831800000</c:v>
                </c:pt>
                <c:pt idx="93">
                  <c:v>851100000</c:v>
                </c:pt>
                <c:pt idx="94">
                  <c:v>871000000</c:v>
                </c:pt>
                <c:pt idx="95">
                  <c:v>891300000</c:v>
                </c:pt>
                <c:pt idx="96">
                  <c:v>912000000</c:v>
                </c:pt>
                <c:pt idx="97">
                  <c:v>933300000</c:v>
                </c:pt>
                <c:pt idx="98">
                  <c:v>955000000</c:v>
                </c:pt>
                <c:pt idx="99">
                  <c:v>977200000</c:v>
                </c:pt>
                <c:pt idx="100">
                  <c:v>1000000000</c:v>
                </c:pt>
                <c:pt idx="101">
                  <c:v>1023000000</c:v>
                </c:pt>
                <c:pt idx="102">
                  <c:v>1047000000</c:v>
                </c:pt>
                <c:pt idx="103">
                  <c:v>1072000000</c:v>
                </c:pt>
                <c:pt idx="104">
                  <c:v>1096000000</c:v>
                </c:pt>
                <c:pt idx="105">
                  <c:v>1122000000</c:v>
                </c:pt>
                <c:pt idx="106">
                  <c:v>1148000000</c:v>
                </c:pt>
                <c:pt idx="107">
                  <c:v>1175000000</c:v>
                </c:pt>
                <c:pt idx="108">
                  <c:v>1202000000</c:v>
                </c:pt>
                <c:pt idx="109">
                  <c:v>1230000000</c:v>
                </c:pt>
                <c:pt idx="110">
                  <c:v>1259000000</c:v>
                </c:pt>
                <c:pt idx="111">
                  <c:v>1288000000</c:v>
                </c:pt>
                <c:pt idx="112">
                  <c:v>1318000000</c:v>
                </c:pt>
                <c:pt idx="113">
                  <c:v>1349000000</c:v>
                </c:pt>
                <c:pt idx="114">
                  <c:v>1380000000</c:v>
                </c:pt>
                <c:pt idx="115">
                  <c:v>1413000000</c:v>
                </c:pt>
                <c:pt idx="116">
                  <c:v>1445000000</c:v>
                </c:pt>
                <c:pt idx="117">
                  <c:v>1479000000</c:v>
                </c:pt>
                <c:pt idx="118">
                  <c:v>1514000000</c:v>
                </c:pt>
                <c:pt idx="119">
                  <c:v>1549000000</c:v>
                </c:pt>
                <c:pt idx="120">
                  <c:v>1585000000</c:v>
                </c:pt>
                <c:pt idx="121">
                  <c:v>1622000000</c:v>
                </c:pt>
                <c:pt idx="122">
                  <c:v>1660000000</c:v>
                </c:pt>
                <c:pt idx="123">
                  <c:v>1698000000</c:v>
                </c:pt>
                <c:pt idx="124">
                  <c:v>1738000000</c:v>
                </c:pt>
                <c:pt idx="125">
                  <c:v>1778000000</c:v>
                </c:pt>
                <c:pt idx="126">
                  <c:v>1820000000</c:v>
                </c:pt>
                <c:pt idx="127">
                  <c:v>1862000000</c:v>
                </c:pt>
                <c:pt idx="128">
                  <c:v>1905000000</c:v>
                </c:pt>
                <c:pt idx="129">
                  <c:v>1950000000</c:v>
                </c:pt>
                <c:pt idx="130">
                  <c:v>1995000000</c:v>
                </c:pt>
                <c:pt idx="131">
                  <c:v>2042000000</c:v>
                </c:pt>
                <c:pt idx="132">
                  <c:v>2089000000</c:v>
                </c:pt>
                <c:pt idx="133">
                  <c:v>2138000000</c:v>
                </c:pt>
                <c:pt idx="134">
                  <c:v>2188000000</c:v>
                </c:pt>
                <c:pt idx="135">
                  <c:v>2239000000</c:v>
                </c:pt>
                <c:pt idx="136">
                  <c:v>2291000000</c:v>
                </c:pt>
                <c:pt idx="137">
                  <c:v>2344000000</c:v>
                </c:pt>
                <c:pt idx="138">
                  <c:v>2399000000</c:v>
                </c:pt>
                <c:pt idx="139">
                  <c:v>2455000000</c:v>
                </c:pt>
                <c:pt idx="140">
                  <c:v>2512000000</c:v>
                </c:pt>
                <c:pt idx="141">
                  <c:v>2570000000</c:v>
                </c:pt>
                <c:pt idx="142">
                  <c:v>2630000000</c:v>
                </c:pt>
                <c:pt idx="143">
                  <c:v>2692000000</c:v>
                </c:pt>
                <c:pt idx="144">
                  <c:v>2754000000</c:v>
                </c:pt>
                <c:pt idx="145">
                  <c:v>2818000000</c:v>
                </c:pt>
                <c:pt idx="146">
                  <c:v>2884000000</c:v>
                </c:pt>
                <c:pt idx="147">
                  <c:v>2951000000</c:v>
                </c:pt>
                <c:pt idx="148">
                  <c:v>3020000000</c:v>
                </c:pt>
                <c:pt idx="149">
                  <c:v>3090000000</c:v>
                </c:pt>
                <c:pt idx="150">
                  <c:v>3162000000</c:v>
                </c:pt>
                <c:pt idx="151">
                  <c:v>3236000000</c:v>
                </c:pt>
                <c:pt idx="152">
                  <c:v>3311000000</c:v>
                </c:pt>
                <c:pt idx="153">
                  <c:v>3388000000</c:v>
                </c:pt>
                <c:pt idx="154">
                  <c:v>3467000000</c:v>
                </c:pt>
                <c:pt idx="155">
                  <c:v>3548000000</c:v>
                </c:pt>
                <c:pt idx="156">
                  <c:v>3631000000</c:v>
                </c:pt>
                <c:pt idx="157">
                  <c:v>3715000000</c:v>
                </c:pt>
                <c:pt idx="158">
                  <c:v>3802000000</c:v>
                </c:pt>
                <c:pt idx="159">
                  <c:v>3890000000</c:v>
                </c:pt>
                <c:pt idx="160">
                  <c:v>3981000000</c:v>
                </c:pt>
                <c:pt idx="161">
                  <c:v>4074000000</c:v>
                </c:pt>
                <c:pt idx="162">
                  <c:v>4169000000</c:v>
                </c:pt>
                <c:pt idx="163">
                  <c:v>4266000000</c:v>
                </c:pt>
                <c:pt idx="164">
                  <c:v>4365000000</c:v>
                </c:pt>
                <c:pt idx="165">
                  <c:v>4467000000</c:v>
                </c:pt>
                <c:pt idx="166">
                  <c:v>4571000000</c:v>
                </c:pt>
                <c:pt idx="167">
                  <c:v>4677000000</c:v>
                </c:pt>
                <c:pt idx="168">
                  <c:v>4786000000</c:v>
                </c:pt>
                <c:pt idx="169">
                  <c:v>4898000000</c:v>
                </c:pt>
                <c:pt idx="170">
                  <c:v>5012000000</c:v>
                </c:pt>
                <c:pt idx="171">
                  <c:v>5129000000</c:v>
                </c:pt>
                <c:pt idx="172">
                  <c:v>5248000000</c:v>
                </c:pt>
                <c:pt idx="173">
                  <c:v>5370000000</c:v>
                </c:pt>
                <c:pt idx="174">
                  <c:v>5495000000</c:v>
                </c:pt>
                <c:pt idx="175">
                  <c:v>5623000000</c:v>
                </c:pt>
                <c:pt idx="176">
                  <c:v>5754000000</c:v>
                </c:pt>
                <c:pt idx="177">
                  <c:v>5888000000</c:v>
                </c:pt>
                <c:pt idx="178">
                  <c:v>6026000000</c:v>
                </c:pt>
                <c:pt idx="179">
                  <c:v>6166000000</c:v>
                </c:pt>
                <c:pt idx="180">
                  <c:v>6310000000</c:v>
                </c:pt>
                <c:pt idx="181">
                  <c:v>6457000000</c:v>
                </c:pt>
                <c:pt idx="182">
                  <c:v>6607000000</c:v>
                </c:pt>
                <c:pt idx="183">
                  <c:v>6761000000</c:v>
                </c:pt>
                <c:pt idx="184">
                  <c:v>6918000000</c:v>
                </c:pt>
                <c:pt idx="185">
                  <c:v>7079000000</c:v>
                </c:pt>
                <c:pt idx="186">
                  <c:v>7244000000</c:v>
                </c:pt>
                <c:pt idx="187">
                  <c:v>7413000000</c:v>
                </c:pt>
                <c:pt idx="188">
                  <c:v>7586000000</c:v>
                </c:pt>
                <c:pt idx="189">
                  <c:v>7762000000</c:v>
                </c:pt>
                <c:pt idx="190">
                  <c:v>7943000000</c:v>
                </c:pt>
                <c:pt idx="191">
                  <c:v>8128000000</c:v>
                </c:pt>
                <c:pt idx="192">
                  <c:v>8318000000</c:v>
                </c:pt>
                <c:pt idx="193">
                  <c:v>8511000000</c:v>
                </c:pt>
                <c:pt idx="194">
                  <c:v>8710000000</c:v>
                </c:pt>
                <c:pt idx="195">
                  <c:v>8913000000</c:v>
                </c:pt>
                <c:pt idx="196">
                  <c:v>9120000000</c:v>
                </c:pt>
                <c:pt idx="197">
                  <c:v>9333000000</c:v>
                </c:pt>
                <c:pt idx="198">
                  <c:v>9550000000</c:v>
                </c:pt>
                <c:pt idx="199">
                  <c:v>9772000000</c:v>
                </c:pt>
                <c:pt idx="200">
                  <c:v>10000000000</c:v>
                </c:pt>
              </c:numCache>
            </c:numRef>
          </c:xVal>
          <c:yVal>
            <c:numRef>
              <c:f>'Input-data'!$Y$60:$Y$260</c:f>
              <c:numCache>
                <c:formatCode>0.0E+00</c:formatCode>
                <c:ptCount val="201"/>
                <c:pt idx="0">
                  <c:v>-36.070630557382827</c:v>
                </c:pt>
                <c:pt idx="1">
                  <c:v>-36.070630557382827</c:v>
                </c:pt>
                <c:pt idx="2">
                  <c:v>-36.070630557382827</c:v>
                </c:pt>
                <c:pt idx="3">
                  <c:v>-35.870213326876865</c:v>
                </c:pt>
                <c:pt idx="4">
                  <c:v>-35.670298286860771</c:v>
                </c:pt>
                <c:pt idx="5">
                  <c:v>-35.470761793001103</c:v>
                </c:pt>
                <c:pt idx="6">
                  <c:v>-35.270637075089752</c:v>
                </c:pt>
                <c:pt idx="7">
                  <c:v>-35.070996909714694</c:v>
                </c:pt>
                <c:pt idx="8">
                  <c:v>-34.870755356022897</c:v>
                </c:pt>
                <c:pt idx="9">
                  <c:v>-34.673438828084244</c:v>
                </c:pt>
                <c:pt idx="10">
                  <c:v>-34.46853030708386</c:v>
                </c:pt>
                <c:pt idx="11">
                  <c:v>-34.273859751509342</c:v>
                </c:pt>
                <c:pt idx="12">
                  <c:v>-34.074090933097516</c:v>
                </c:pt>
                <c:pt idx="13">
                  <c:v>-33.869643817493923</c:v>
                </c:pt>
                <c:pt idx="14">
                  <c:v>-33.674659495854648</c:v>
                </c:pt>
                <c:pt idx="15">
                  <c:v>-33.474771404803704</c:v>
                </c:pt>
                <c:pt idx="16">
                  <c:v>-33.270376800852631</c:v>
                </c:pt>
                <c:pt idx="17">
                  <c:v>-33.074557354286284</c:v>
                </c:pt>
                <c:pt idx="18">
                  <c:v>-32.87416399331422</c:v>
                </c:pt>
                <c:pt idx="19">
                  <c:v>-32.669419616018729</c:v>
                </c:pt>
                <c:pt idx="20">
                  <c:v>-32.47240902541602</c:v>
                </c:pt>
                <c:pt idx="21">
                  <c:v>-32.270986322602425</c:v>
                </c:pt>
                <c:pt idx="22">
                  <c:v>-32.071062902600033</c:v>
                </c:pt>
                <c:pt idx="23">
                  <c:v>-31.872229527815534</c:v>
                </c:pt>
                <c:pt idx="24">
                  <c:v>-31.67454930175839</c:v>
                </c:pt>
                <c:pt idx="25">
                  <c:v>-31.472522138161331</c:v>
                </c:pt>
                <c:pt idx="26">
                  <c:v>-31.27115607343519</c:v>
                </c:pt>
                <c:pt idx="27">
                  <c:v>-31.075047084782227</c:v>
                </c:pt>
                <c:pt idx="28">
                  <c:v>-30.876181351557296</c:v>
                </c:pt>
                <c:pt idx="29">
                  <c:v>-30.676395130832038</c:v>
                </c:pt>
                <c:pt idx="30">
                  <c:v>-30.475645248515455</c:v>
                </c:pt>
                <c:pt idx="31">
                  <c:v>-30.276943039996404</c:v>
                </c:pt>
                <c:pt idx="32">
                  <c:v>-30.075683230706911</c:v>
                </c:pt>
                <c:pt idx="33">
                  <c:v>-29.876406370392154</c:v>
                </c:pt>
                <c:pt idx="34">
                  <c:v>-29.674545399544492</c:v>
                </c:pt>
                <c:pt idx="35">
                  <c:v>-29.476925782897712</c:v>
                </c:pt>
                <c:pt idx="36">
                  <c:v>-29.27432544094777</c:v>
                </c:pt>
                <c:pt idx="37">
                  <c:v>-29.077809317824965</c:v>
                </c:pt>
                <c:pt idx="38">
                  <c:v>-28.876369919959181</c:v>
                </c:pt>
                <c:pt idx="39">
                  <c:v>-28.675578800777423</c:v>
                </c:pt>
                <c:pt idx="40">
                  <c:v>-28.4766563645315</c:v>
                </c:pt>
                <c:pt idx="41">
                  <c:v>-28.276228222751012</c:v>
                </c:pt>
                <c:pt idx="42">
                  <c:v>-28.075915640479806</c:v>
                </c:pt>
                <c:pt idx="43">
                  <c:v>-27.876983223264482</c:v>
                </c:pt>
                <c:pt idx="44">
                  <c:v>-27.677769439328799</c:v>
                </c:pt>
                <c:pt idx="45">
                  <c:v>-27.479358317810384</c:v>
                </c:pt>
                <c:pt idx="46">
                  <c:v>-27.279029983253636</c:v>
                </c:pt>
                <c:pt idx="47">
                  <c:v>-27.080509770190542</c:v>
                </c:pt>
                <c:pt idx="48">
                  <c:v>-26.879572117930937</c:v>
                </c:pt>
                <c:pt idx="49">
                  <c:v>-26.679910260562693</c:v>
                </c:pt>
                <c:pt idx="50">
                  <c:v>-26.481991416249066</c:v>
                </c:pt>
                <c:pt idx="51">
                  <c:v>-26.282437210983005</c:v>
                </c:pt>
                <c:pt idx="52">
                  <c:v>-26.081889000860215</c:v>
                </c:pt>
                <c:pt idx="53">
                  <c:v>-25.882081884976419</c:v>
                </c:pt>
                <c:pt idx="54">
                  <c:v>-25.682578285181918</c:v>
                </c:pt>
                <c:pt idx="55">
                  <c:v>-25.484359981212702</c:v>
                </c:pt>
                <c:pt idx="56">
                  <c:v>-25.284308321096059</c:v>
                </c:pt>
                <c:pt idx="57">
                  <c:v>-25.085089774991932</c:v>
                </c:pt>
                <c:pt idx="58">
                  <c:v>-24.886183161556406</c:v>
                </c:pt>
                <c:pt idx="59">
                  <c:v>-24.68711754810105</c:v>
                </c:pt>
                <c:pt idx="60">
                  <c:v>-24.48881464098924</c:v>
                </c:pt>
                <c:pt idx="61">
                  <c:v>-24.289401597874296</c:v>
                </c:pt>
                <c:pt idx="62">
                  <c:v>-24.089629513434517</c:v>
                </c:pt>
                <c:pt idx="63">
                  <c:v>-23.891376849470202</c:v>
                </c:pt>
                <c:pt idx="64">
                  <c:v>-23.692666644732615</c:v>
                </c:pt>
                <c:pt idx="65">
                  <c:v>-23.492900947860626</c:v>
                </c:pt>
                <c:pt idx="66">
                  <c:v>-23.294542905096769</c:v>
                </c:pt>
                <c:pt idx="67">
                  <c:v>-23.09584164022079</c:v>
                </c:pt>
                <c:pt idx="68">
                  <c:v>-22.897602912175969</c:v>
                </c:pt>
                <c:pt idx="69">
                  <c:v>-22.6981654284053</c:v>
                </c:pt>
                <c:pt idx="70">
                  <c:v>-22.499765612594985</c:v>
                </c:pt>
                <c:pt idx="71">
                  <c:v>-22.301343436780012</c:v>
                </c:pt>
                <c:pt idx="72">
                  <c:v>-22.102391500631136</c:v>
                </c:pt>
                <c:pt idx="73">
                  <c:v>-21.904580936796087</c:v>
                </c:pt>
                <c:pt idx="74">
                  <c:v>-21.705769469657874</c:v>
                </c:pt>
                <c:pt idx="75">
                  <c:v>-21.507355077694985</c:v>
                </c:pt>
                <c:pt idx="76">
                  <c:v>-21.309101696775706</c:v>
                </c:pt>
                <c:pt idx="77">
                  <c:v>-21.110762129402694</c:v>
                </c:pt>
                <c:pt idx="78">
                  <c:v>-20.912985027694422</c:v>
                </c:pt>
                <c:pt idx="79">
                  <c:v>-20.714211412097111</c:v>
                </c:pt>
                <c:pt idx="80">
                  <c:v>-20.516730082740398</c:v>
                </c:pt>
                <c:pt idx="81">
                  <c:v>-20.31867776391374</c:v>
                </c:pt>
                <c:pt idx="82">
                  <c:v>-20.120964765155406</c:v>
                </c:pt>
                <c:pt idx="83">
                  <c:v>-19.92334751195504</c:v>
                </c:pt>
                <c:pt idx="84">
                  <c:v>-19.725272560286665</c:v>
                </c:pt>
                <c:pt idx="85">
                  <c:v>-19.528320875959835</c:v>
                </c:pt>
                <c:pt idx="86">
                  <c:v>-19.330429052965531</c:v>
                </c:pt>
                <c:pt idx="87">
                  <c:v>-19.133872002431875</c:v>
                </c:pt>
                <c:pt idx="88">
                  <c:v>-18.936729581008287</c:v>
                </c:pt>
                <c:pt idx="89">
                  <c:v>-18.739370643140617</c:v>
                </c:pt>
                <c:pt idx="90">
                  <c:v>-18.543015720069224</c:v>
                </c:pt>
                <c:pt idx="91">
                  <c:v>-18.346015567047214</c:v>
                </c:pt>
                <c:pt idx="92">
                  <c:v>-18.149021572542512</c:v>
                </c:pt>
                <c:pt idx="93">
                  <c:v>-17.952404362993096</c:v>
                </c:pt>
                <c:pt idx="94">
                  <c:v>-17.75591108474822</c:v>
                </c:pt>
                <c:pt idx="95">
                  <c:v>-17.560156430364461</c:v>
                </c:pt>
                <c:pt idx="96">
                  <c:v>-17.364415042592555</c:v>
                </c:pt>
                <c:pt idx="97">
                  <c:v>-17.168551013364464</c:v>
                </c:pt>
                <c:pt idx="98">
                  <c:v>-16.97273309440077</c:v>
                </c:pt>
                <c:pt idx="99">
                  <c:v>-16.776960534647575</c:v>
                </c:pt>
                <c:pt idx="100">
                  <c:v>-16.581644884761758</c:v>
                </c:pt>
                <c:pt idx="101">
                  <c:v>-16.386421544854546</c:v>
                </c:pt>
                <c:pt idx="102">
                  <c:v>-16.191246858123641</c:v>
                </c:pt>
                <c:pt idx="103">
                  <c:v>-15.996437872009363</c:v>
                </c:pt>
                <c:pt idx="104">
                  <c:v>-15.801568481182722</c:v>
                </c:pt>
                <c:pt idx="105">
                  <c:v>-15.60705206297926</c:v>
                </c:pt>
                <c:pt idx="106">
                  <c:v>-15.412914578756183</c:v>
                </c:pt>
                <c:pt idx="107">
                  <c:v>-15.218867438109712</c:v>
                </c:pt>
                <c:pt idx="108">
                  <c:v>-15.026570439008278</c:v>
                </c:pt>
                <c:pt idx="109">
                  <c:v>-14.829235674829972</c:v>
                </c:pt>
                <c:pt idx="110">
                  <c:v>-14.641415290102778</c:v>
                </c:pt>
                <c:pt idx="111">
                  <c:v>-14.442669427259634</c:v>
                </c:pt>
                <c:pt idx="112">
                  <c:v>-14.254142937069929</c:v>
                </c:pt>
                <c:pt idx="113">
                  <c:v>-14.057119631958058</c:v>
                </c:pt>
                <c:pt idx="114">
                  <c:v>-13.867510612288527</c:v>
                </c:pt>
                <c:pt idx="115">
                  <c:v>-13.676327503564034</c:v>
                </c:pt>
                <c:pt idx="116">
                  <c:v>-13.484886680996444</c:v>
                </c:pt>
                <c:pt idx="117">
                  <c:v>-13.294157824414087</c:v>
                </c:pt>
                <c:pt idx="118">
                  <c:v>-13.100947621442913</c:v>
                </c:pt>
                <c:pt idx="119">
                  <c:v>-12.912951413486301</c:v>
                </c:pt>
                <c:pt idx="120">
                  <c:v>-12.720874201347872</c:v>
                </c:pt>
                <c:pt idx="121">
                  <c:v>-12.532409205939661</c:v>
                </c:pt>
                <c:pt idx="122">
                  <c:v>-12.341483229500056</c:v>
                </c:pt>
                <c:pt idx="123">
                  <c:v>-12.155941368029438</c:v>
                </c:pt>
                <c:pt idx="124">
                  <c:v>-11.964321162010085</c:v>
                </c:pt>
                <c:pt idx="125">
                  <c:v>-11.778341334462009</c:v>
                </c:pt>
                <c:pt idx="126">
                  <c:v>-11.590580062758189</c:v>
                </c:pt>
                <c:pt idx="127">
                  <c:v>-11.40276802949294</c:v>
                </c:pt>
                <c:pt idx="128">
                  <c:v>-11.216007639694499</c:v>
                </c:pt>
                <c:pt idx="129">
                  <c:v>-11.03088124899627</c:v>
                </c:pt>
                <c:pt idx="130">
                  <c:v>-10.847139483865396</c:v>
                </c:pt>
                <c:pt idx="131">
                  <c:v>-10.664018160704492</c:v>
                </c:pt>
                <c:pt idx="132">
                  <c:v>-10.480141725765309</c:v>
                </c:pt>
                <c:pt idx="133">
                  <c:v>-10.297249852548322</c:v>
                </c:pt>
                <c:pt idx="134">
                  <c:v>-10.116684611002292</c:v>
                </c:pt>
                <c:pt idx="135">
                  <c:v>-9.9365234839627874</c:v>
                </c:pt>
                <c:pt idx="136">
                  <c:v>-9.7528241964075626</c:v>
                </c:pt>
                <c:pt idx="137">
                  <c:v>-9.5760397866959508</c:v>
                </c:pt>
                <c:pt idx="138">
                  <c:v>-9.3970233721179888</c:v>
                </c:pt>
                <c:pt idx="139">
                  <c:v>-9.2205078745675664</c:v>
                </c:pt>
                <c:pt idx="140">
                  <c:v>-9.0476627877168863</c:v>
                </c:pt>
                <c:pt idx="141">
                  <c:v>-8.8713286736867314</c:v>
                </c:pt>
                <c:pt idx="142">
                  <c:v>-8.699191150748284</c:v>
                </c:pt>
                <c:pt idx="143">
                  <c:v>-8.5254823071980983</c:v>
                </c:pt>
                <c:pt idx="144">
                  <c:v>-8.3549601702113492</c:v>
                </c:pt>
                <c:pt idx="145">
                  <c:v>-8.1855744837576001</c:v>
                </c:pt>
                <c:pt idx="146">
                  <c:v>-8.0183579444735305</c:v>
                </c:pt>
                <c:pt idx="147">
                  <c:v>-7.8524527844836909</c:v>
                </c:pt>
                <c:pt idx="148">
                  <c:v>-7.6872431561434551</c:v>
                </c:pt>
                <c:pt idx="149">
                  <c:v>-7.5231367087033005</c:v>
                </c:pt>
                <c:pt idx="150">
                  <c:v>-7.3610872990787621</c:v>
                </c:pt>
                <c:pt idx="151">
                  <c:v>-7.1994990793764977</c:v>
                </c:pt>
                <c:pt idx="152">
                  <c:v>-7.0391327032040598</c:v>
                </c:pt>
                <c:pt idx="153">
                  <c:v>-6.8807165762145006</c:v>
                </c:pt>
                <c:pt idx="154">
                  <c:v>-6.7236184581634113</c:v>
                </c:pt>
                <c:pt idx="155">
                  <c:v>-6.5674666114199622</c:v>
                </c:pt>
                <c:pt idx="156">
                  <c:v>-6.4133576623796742</c:v>
                </c:pt>
                <c:pt idx="157">
                  <c:v>-6.2612673740795408</c:v>
                </c:pt>
                <c:pt idx="158">
                  <c:v>-6.1092632713461006</c:v>
                </c:pt>
                <c:pt idx="159">
                  <c:v>-5.9570817947613257</c:v>
                </c:pt>
                <c:pt idx="160">
                  <c:v>-5.807131800329338</c:v>
                </c:pt>
                <c:pt idx="161" formatCode="General">
                  <c:v>-5.6603179826729306</c:v>
                </c:pt>
                <c:pt idx="162" formatCode="General">
                  <c:v>-5.515102557147701</c:v>
                </c:pt>
                <c:pt idx="163" formatCode="General">
                  <c:v>-5.3708610415530753</c:v>
                </c:pt>
                <c:pt idx="164" formatCode="General">
                  <c:v>-5.228163083165196</c:v>
                </c:pt>
                <c:pt idx="165" formatCode="General">
                  <c:v>-5.0859442034173785</c:v>
                </c:pt>
                <c:pt idx="166" formatCode="General">
                  <c:v>-4.9462205765366036</c:v>
                </c:pt>
                <c:pt idx="167" formatCode="General">
                  <c:v>-4.8101729135584668</c:v>
                </c:pt>
                <c:pt idx="168" formatCode="General">
                  <c:v>-4.6775492319775749</c:v>
                </c:pt>
                <c:pt idx="169" formatCode="General">
                  <c:v>-4.5445475358786407</c:v>
                </c:pt>
                <c:pt idx="170" formatCode="General">
                  <c:v>-4.4154692656094916</c:v>
                </c:pt>
                <c:pt idx="171" formatCode="General">
                  <c:v>-4.2895880458695572</c:v>
                </c:pt>
                <c:pt idx="172" formatCode="General">
                  <c:v>-4.166703548189032</c:v>
                </c:pt>
                <c:pt idx="173" formatCode="General">
                  <c:v>-4.0458968077313493</c:v>
                </c:pt>
                <c:pt idx="174" formatCode="General">
                  <c:v>-3.9280356716823643</c:v>
                </c:pt>
                <c:pt idx="175" formatCode="General">
                  <c:v>-3.8121044530210741</c:v>
                </c:pt>
                <c:pt idx="176" formatCode="General">
                  <c:v>-3.6983709376590621</c:v>
                </c:pt>
                <c:pt idx="177" formatCode="General">
                  <c:v>-3.5874841168109484</c:v>
                </c:pt>
                <c:pt idx="178" formatCode="General">
                  <c:v>-3.4758996438389325</c:v>
                </c:pt>
                <c:pt idx="179" formatCode="General">
                  <c:v>-3.3687618234656274</c:v>
                </c:pt>
                <c:pt idx="180" formatCode="General">
                  <c:v>-3.2609895499501822</c:v>
                </c:pt>
                <c:pt idx="181" formatCode="General">
                  <c:v>-3.1575314090084019</c:v>
                </c:pt>
                <c:pt idx="182" formatCode="General">
                  <c:v>-3.0541871811373933</c:v>
                </c:pt>
                <c:pt idx="183" formatCode="General">
                  <c:v>-2.9509409154546757</c:v>
                </c:pt>
                <c:pt idx="184" formatCode="General">
                  <c:v>-2.8520062915127813</c:v>
                </c:pt>
                <c:pt idx="185" formatCode="General">
                  <c:v>-2.7533207972892679</c:v>
                </c:pt>
                <c:pt idx="186" formatCode="General">
                  <c:v>-2.6588643116849657</c:v>
                </c:pt>
                <c:pt idx="187" formatCode="General">
                  <c:v>-2.5683148063954504</c:v>
                </c:pt>
                <c:pt idx="188" formatCode="General">
                  <c:v>-2.4803263970396658</c:v>
                </c:pt>
                <c:pt idx="189" formatCode="General">
                  <c:v>-2.3941478979699702</c:v>
                </c:pt>
                <c:pt idx="190" formatCode="General">
                  <c:v>-2.3127019231479697</c:v>
                </c:pt>
                <c:pt idx="191" formatCode="General">
                  <c:v>-2.2337828505017909</c:v>
                </c:pt>
                <c:pt idx="192" formatCode="General">
                  <c:v>-2.1569324877681315</c:v>
                </c:pt>
                <c:pt idx="193" formatCode="General">
                  <c:v>-2.0822251556005096</c:v>
                </c:pt>
                <c:pt idx="194" formatCode="General">
                  <c:v>-2.0082507126417317</c:v>
                </c:pt>
                <c:pt idx="195" formatCode="General">
                  <c:v>-1.934608372148475</c:v>
                </c:pt>
                <c:pt idx="196" formatCode="General">
                  <c:v>-1.8627402388944136</c:v>
                </c:pt>
                <c:pt idx="197" formatCode="General">
                  <c:v>-1.7919062164290764</c:v>
                </c:pt>
                <c:pt idx="198" formatCode="General">
                  <c:v>-1.7223318480464387</c:v>
                </c:pt>
                <c:pt idx="199" formatCode="General">
                  <c:v>-1.6559454197452963</c:v>
                </c:pt>
                <c:pt idx="200" formatCode="General">
                  <c:v>-1.5927464150932293</c:v>
                </c:pt>
              </c:numCache>
            </c:numRef>
          </c:yVal>
          <c:smooth val="0"/>
          <c:extLst>
            <c:ext xmlns:c16="http://schemas.microsoft.com/office/drawing/2014/chart" uri="{C3380CC4-5D6E-409C-BE32-E72D297353CC}">
              <c16:uniqueId val="{00000003-F2DB-40C3-8723-C8886B966B3A}"/>
            </c:ext>
          </c:extLst>
        </c:ser>
        <c:dLbls>
          <c:showLegendKey val="0"/>
          <c:showVal val="0"/>
          <c:showCatName val="0"/>
          <c:showSerName val="0"/>
          <c:showPercent val="0"/>
          <c:showBubbleSize val="0"/>
        </c:dLbls>
        <c:axId val="1728450575"/>
        <c:axId val="1728440175"/>
      </c:scatterChart>
      <c:valAx>
        <c:axId val="905600687"/>
        <c:scaling>
          <c:logBase val="10"/>
          <c:orientation val="minMax"/>
          <c:max val="10000000000"/>
          <c:min val="100000000"/>
        </c:scaling>
        <c:delete val="0"/>
        <c:axPos val="b"/>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Frequency [Hz]</a:t>
                </a:r>
              </a:p>
            </c:rich>
          </c:tx>
          <c:layout>
            <c:manualLayout>
              <c:xMode val="edge"/>
              <c:yMode val="edge"/>
              <c:x val="0.41439269003012241"/>
              <c:y val="0.92581774688906204"/>
            </c:manualLayout>
          </c:layout>
          <c:overlay val="0"/>
          <c:spPr>
            <a:noFill/>
            <a:ln w="25400">
              <a:noFill/>
            </a:ln>
          </c:spPr>
        </c:title>
        <c:numFmt formatCode="0.0E+00" sourceLinked="0"/>
        <c:majorTickMark val="out"/>
        <c:minorTickMark val="none"/>
        <c:tickLblPos val="low"/>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05600687"/>
        <c:crosses val="autoZero"/>
        <c:crossBetween val="midCat"/>
      </c:valAx>
      <c:valAx>
        <c:axId val="1728440175"/>
        <c:scaling>
          <c:orientation val="minMax"/>
        </c:scaling>
        <c:delete val="0"/>
        <c:axPos val="r"/>
        <c:numFmt formatCode="#,##0.0" sourceLinked="0"/>
        <c:majorTickMark val="out"/>
        <c:minorTickMark val="none"/>
        <c:tickLblPos val="nextTo"/>
        <c:txPr>
          <a:bodyPr/>
          <a:lstStyle/>
          <a:p>
            <a:pPr>
              <a:defRPr sz="1000"/>
            </a:pPr>
            <a:endParaRPr lang="en-US"/>
          </a:p>
        </c:txPr>
        <c:crossAx val="1728450575"/>
        <c:crosses val="max"/>
        <c:crossBetween val="midCat"/>
      </c:valAx>
      <c:valAx>
        <c:axId val="1728450575"/>
        <c:scaling>
          <c:logBase val="10"/>
          <c:orientation val="minMax"/>
        </c:scaling>
        <c:delete val="1"/>
        <c:axPos val="b"/>
        <c:numFmt formatCode="0.00E+00" sourceLinked="1"/>
        <c:majorTickMark val="out"/>
        <c:minorTickMark val="none"/>
        <c:tickLblPos val="nextTo"/>
        <c:crossAx val="1728440175"/>
        <c:crossBetween val="midCat"/>
      </c:valAx>
      <c:spPr>
        <a:solidFill>
          <a:srgbClr val="FFFFFF"/>
        </a:solidFill>
        <a:ln w="12700">
          <a:solidFill>
            <a:srgbClr val="808080"/>
          </a:solidFill>
          <a:prstDash val="solid"/>
        </a:ln>
      </c:spPr>
    </c:plotArea>
    <c:legend>
      <c:legendPos val="r"/>
      <c:layout>
        <c:manualLayout>
          <c:xMode val="edge"/>
          <c:yMode val="edge"/>
          <c:x val="0.40450629715151487"/>
          <c:y val="0.63649028626955073"/>
          <c:w val="0.16732575496484439"/>
          <c:h val="0.20965411903499803"/>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4" Type="http://schemas.openxmlformats.org/officeDocument/2006/relationships/image" Target="../media/image2.w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184150</xdr:colOff>
      <xdr:row>15</xdr:row>
      <xdr:rowOff>57150</xdr:rowOff>
    </xdr:from>
    <xdr:to>
      <xdr:col>8</xdr:col>
      <xdr:colOff>133350</xdr:colOff>
      <xdr:row>36</xdr:row>
      <xdr:rowOff>133350</xdr:rowOff>
    </xdr:to>
    <xdr:graphicFrame macro="">
      <xdr:nvGraphicFramePr>
        <xdr:cNvPr id="2051" name="Transfer_function">
          <a:extLst>
            <a:ext uri="{FF2B5EF4-FFF2-40B4-BE49-F238E27FC236}">
              <a16:creationId xmlns:a16="http://schemas.microsoft.com/office/drawing/2014/main" id="{B7B359A4-B15F-4B94-AB30-568ACE7339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107950</xdr:colOff>
      <xdr:row>36</xdr:row>
      <xdr:rowOff>139700</xdr:rowOff>
    </xdr:from>
    <xdr:to>
      <xdr:col>10</xdr:col>
      <xdr:colOff>323850</xdr:colOff>
      <xdr:row>40</xdr:row>
      <xdr:rowOff>101600</xdr:rowOff>
    </xdr:to>
    <xdr:pic>
      <xdr:nvPicPr>
        <xdr:cNvPr id="2086" name="Picture 38">
          <a:extLst>
            <a:ext uri="{FF2B5EF4-FFF2-40B4-BE49-F238E27FC236}">
              <a16:creationId xmlns:a16="http://schemas.microsoft.com/office/drawing/2014/main" id="{E94EFF6F-6955-4C15-830D-B560DACCA4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6350" y="5892800"/>
          <a:ext cx="2654300" cy="59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247650</xdr:colOff>
      <xdr:row>15</xdr:row>
      <xdr:rowOff>63500</xdr:rowOff>
    </xdr:from>
    <xdr:to>
      <xdr:col>16</xdr:col>
      <xdr:colOff>228600</xdr:colOff>
      <xdr:row>36</xdr:row>
      <xdr:rowOff>152400</xdr:rowOff>
    </xdr:to>
    <xdr:graphicFrame macro="">
      <xdr:nvGraphicFramePr>
        <xdr:cNvPr id="2100" name="S_parameters">
          <a:extLst>
            <a:ext uri="{FF2B5EF4-FFF2-40B4-BE49-F238E27FC236}">
              <a16:creationId xmlns:a16="http://schemas.microsoft.com/office/drawing/2014/main" id="{4AF742ED-2AA3-4311-B397-6C75CB1F80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546100</xdr:colOff>
      <xdr:row>2</xdr:row>
      <xdr:rowOff>19050</xdr:rowOff>
    </xdr:from>
    <xdr:to>
      <xdr:col>12</xdr:col>
      <xdr:colOff>114300</xdr:colOff>
      <xdr:row>15</xdr:row>
      <xdr:rowOff>38100</xdr:rowOff>
    </xdr:to>
    <xdr:pic>
      <xdr:nvPicPr>
        <xdr:cNvPr id="2118" name="Picture 70" descr="Reciprocity-symmetry_">
          <a:extLst>
            <a:ext uri="{FF2B5EF4-FFF2-40B4-BE49-F238E27FC236}">
              <a16:creationId xmlns:a16="http://schemas.microsoft.com/office/drawing/2014/main" id="{8D922D73-6EEB-4976-AD4E-A2359F0A927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16458" t="35118" r="16928" b="36830"/>
        <a:stretch>
          <a:fillRect/>
        </a:stretch>
      </xdr:blipFill>
      <xdr:spPr bwMode="auto">
        <a:xfrm>
          <a:off x="546100" y="374650"/>
          <a:ext cx="6934200" cy="208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3143250</xdr:colOff>
      <xdr:row>1</xdr:row>
      <xdr:rowOff>120650</xdr:rowOff>
    </xdr:from>
    <xdr:to>
      <xdr:col>1</xdr:col>
      <xdr:colOff>5930900</xdr:colOff>
      <xdr:row>4</xdr:row>
      <xdr:rowOff>95250</xdr:rowOff>
    </xdr:to>
    <xdr:pic>
      <xdr:nvPicPr>
        <xdr:cNvPr id="1027" name="Picture 3">
          <a:extLst>
            <a:ext uri="{FF2B5EF4-FFF2-40B4-BE49-F238E27FC236}">
              <a16:creationId xmlns:a16="http://schemas.microsoft.com/office/drawing/2014/main" id="{467ACC18-C74A-4438-BEB9-76EF89BEEE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3600" y="279400"/>
          <a:ext cx="2787650" cy="60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6350</xdr:colOff>
      <xdr:row>2</xdr:row>
      <xdr:rowOff>152400</xdr:rowOff>
    </xdr:from>
    <xdr:to>
      <xdr:col>1</xdr:col>
      <xdr:colOff>2794000</xdr:colOff>
      <xdr:row>6</xdr:row>
      <xdr:rowOff>114300</xdr:rowOff>
    </xdr:to>
    <xdr:pic>
      <xdr:nvPicPr>
        <xdr:cNvPr id="36865" name="Picture 1">
          <a:extLst>
            <a:ext uri="{FF2B5EF4-FFF2-40B4-BE49-F238E27FC236}">
              <a16:creationId xmlns:a16="http://schemas.microsoft.com/office/drawing/2014/main" id="{D5A39C45-0CFC-4460-8B53-398F9ADC0C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5950" y="946150"/>
          <a:ext cx="2787650" cy="59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660"/>
  <sheetViews>
    <sheetView showGridLines="0" showRowColHeaders="0" tabSelected="1" showOutlineSymbols="0" zoomScale="66" zoomScaleNormal="66" workbookViewId="0">
      <selection activeCell="AB39" sqref="AB39"/>
    </sheetView>
  </sheetViews>
  <sheetFormatPr defaultRowHeight="12.5" x14ac:dyDescent="0.25"/>
  <cols>
    <col min="3" max="3" width="9.453125" bestFit="1" customWidth="1"/>
  </cols>
  <sheetData>
    <row r="1" spans="1:16" x14ac:dyDescent="0.25">
      <c r="A1" t="s">
        <v>3</v>
      </c>
    </row>
    <row r="2" spans="1:16" ht="15.5" x14ac:dyDescent="0.35">
      <c r="B2" s="12" t="s">
        <v>33</v>
      </c>
      <c r="O2" s="7" t="s">
        <v>10</v>
      </c>
      <c r="P2" s="11" t="s">
        <v>9</v>
      </c>
    </row>
    <row r="3" spans="1:16" x14ac:dyDescent="0.25">
      <c r="C3" t="s">
        <v>3</v>
      </c>
      <c r="O3" s="9">
        <v>20</v>
      </c>
      <c r="P3" s="13">
        <v>100</v>
      </c>
    </row>
    <row r="4" spans="1:16" x14ac:dyDescent="0.25">
      <c r="O4" s="7" t="s">
        <v>11</v>
      </c>
      <c r="P4" s="11" t="s">
        <v>12</v>
      </c>
    </row>
    <row r="5" spans="1:16" x14ac:dyDescent="0.25">
      <c r="O5" s="9">
        <v>50</v>
      </c>
      <c r="P5" s="14">
        <v>2.0000000000000001E-10</v>
      </c>
    </row>
    <row r="6" spans="1:16" x14ac:dyDescent="0.25">
      <c r="O6" s="7" t="s">
        <v>24</v>
      </c>
      <c r="P6" s="7" t="s">
        <v>27</v>
      </c>
    </row>
    <row r="7" spans="1:16" x14ac:dyDescent="0.25">
      <c r="O7" s="15">
        <v>9.9999999999999998E-13</v>
      </c>
      <c r="P7" s="10">
        <v>1.0000000000000001E-15</v>
      </c>
    </row>
    <row r="8" spans="1:16" x14ac:dyDescent="0.25">
      <c r="O8" s="7" t="s">
        <v>26</v>
      </c>
      <c r="P8" s="7" t="s">
        <v>28</v>
      </c>
    </row>
    <row r="9" spans="1:16" x14ac:dyDescent="0.25">
      <c r="O9" s="15">
        <v>1000000000</v>
      </c>
      <c r="P9" s="10">
        <v>1000000000</v>
      </c>
    </row>
    <row r="10" spans="1:16" x14ac:dyDescent="0.25">
      <c r="O10" s="8" t="s">
        <v>25</v>
      </c>
      <c r="P10" s="7" t="s">
        <v>29</v>
      </c>
    </row>
    <row r="11" spans="1:16" x14ac:dyDescent="0.25">
      <c r="O11" s="15">
        <v>1</v>
      </c>
      <c r="P11" s="19">
        <v>1</v>
      </c>
    </row>
    <row r="12" spans="1:16" x14ac:dyDescent="0.25">
      <c r="O12" s="7" t="s">
        <v>7</v>
      </c>
      <c r="P12" s="7" t="s">
        <v>34</v>
      </c>
    </row>
    <row r="13" spans="1:16" x14ac:dyDescent="0.25">
      <c r="O13" s="16">
        <v>100</v>
      </c>
      <c r="P13" s="16">
        <v>50</v>
      </c>
    </row>
    <row r="14" spans="1:16" x14ac:dyDescent="0.25">
      <c r="O14" s="7" t="s">
        <v>5</v>
      </c>
      <c r="P14" s="7" t="s">
        <v>6</v>
      </c>
    </row>
    <row r="15" spans="1:16" x14ac:dyDescent="0.25">
      <c r="O15" s="10">
        <v>100000000</v>
      </c>
      <c r="P15" s="10">
        <v>10000000000</v>
      </c>
    </row>
    <row r="17" spans="9:11" x14ac:dyDescent="0.25">
      <c r="K17" t="s">
        <v>3</v>
      </c>
    </row>
    <row r="22" spans="9:11" x14ac:dyDescent="0.25">
      <c r="I22" t="s">
        <v>3</v>
      </c>
    </row>
    <row r="40" spans="9:10" x14ac:dyDescent="0.25">
      <c r="I40" s="6"/>
      <c r="J40" s="6"/>
    </row>
    <row r="41" spans="9:10" x14ac:dyDescent="0.25">
      <c r="I41" s="6"/>
      <c r="J41" s="6"/>
    </row>
    <row r="42" spans="9:10" x14ac:dyDescent="0.25">
      <c r="I42" s="6"/>
      <c r="J42" s="6"/>
    </row>
    <row r="43" spans="9:10" x14ac:dyDescent="0.25">
      <c r="I43" s="6"/>
      <c r="J43" s="6"/>
    </row>
    <row r="44" spans="9:10" x14ac:dyDescent="0.25">
      <c r="I44" s="6"/>
      <c r="J44" s="6"/>
    </row>
    <row r="45" spans="9:10" x14ac:dyDescent="0.25">
      <c r="I45" s="6"/>
      <c r="J45" s="6"/>
    </row>
    <row r="46" spans="9:10" x14ac:dyDescent="0.25">
      <c r="I46" s="6"/>
      <c r="J46" s="6"/>
    </row>
    <row r="47" spans="9:10" x14ac:dyDescent="0.25">
      <c r="I47" s="6"/>
      <c r="J47" s="6"/>
    </row>
    <row r="48" spans="9:10" x14ac:dyDescent="0.25">
      <c r="I48" s="6"/>
      <c r="J48" s="6"/>
    </row>
    <row r="49" spans="2:26" x14ac:dyDescent="0.25">
      <c r="I49" s="6"/>
      <c r="J49" s="6"/>
    </row>
    <row r="50" spans="2:26" x14ac:dyDescent="0.25">
      <c r="I50" s="6"/>
      <c r="J50" s="6"/>
    </row>
    <row r="51" spans="2:26" x14ac:dyDescent="0.25">
      <c r="I51" s="6"/>
      <c r="J51" s="6"/>
    </row>
    <row r="52" spans="2:26" x14ac:dyDescent="0.25">
      <c r="I52" s="6"/>
      <c r="J52" s="6"/>
    </row>
    <row r="53" spans="2:26" x14ac:dyDescent="0.25">
      <c r="I53" s="6"/>
      <c r="J53" s="6"/>
    </row>
    <row r="54" spans="2:26" x14ac:dyDescent="0.25">
      <c r="I54" s="6"/>
      <c r="J54" s="6"/>
    </row>
    <row r="55" spans="2:26" x14ac:dyDescent="0.25">
      <c r="I55" s="6"/>
      <c r="J55" s="6"/>
    </row>
    <row r="56" spans="2:26" x14ac:dyDescent="0.25">
      <c r="I56" s="6"/>
      <c r="J56" s="6"/>
    </row>
    <row r="57" spans="2:26" x14ac:dyDescent="0.25">
      <c r="E57" t="s">
        <v>30</v>
      </c>
      <c r="I57" s="6" t="s">
        <v>37</v>
      </c>
      <c r="J57" s="6"/>
      <c r="M57" t="str">
        <f>"S21"</f>
        <v>S21</v>
      </c>
      <c r="Q57" t="str">
        <f>"S12"</f>
        <v>S12</v>
      </c>
    </row>
    <row r="58" spans="2:26" x14ac:dyDescent="0.25">
      <c r="C58" t="s">
        <v>15</v>
      </c>
      <c r="E58" t="s">
        <v>58</v>
      </c>
      <c r="G58" t="s">
        <v>35</v>
      </c>
      <c r="I58" t="s">
        <v>59</v>
      </c>
      <c r="K58" t="s">
        <v>40</v>
      </c>
      <c r="M58" t="s">
        <v>43</v>
      </c>
      <c r="O58" t="s">
        <v>46</v>
      </c>
      <c r="Q58" t="s">
        <v>49</v>
      </c>
    </row>
    <row r="59" spans="2:26" x14ac:dyDescent="0.25">
      <c r="B59" t="s">
        <v>8</v>
      </c>
      <c r="C59" t="s">
        <v>13</v>
      </c>
      <c r="D59" t="s">
        <v>14</v>
      </c>
      <c r="E59" t="s">
        <v>31</v>
      </c>
      <c r="F59" t="s">
        <v>32</v>
      </c>
      <c r="G59" t="s">
        <v>36</v>
      </c>
      <c r="H59" t="s">
        <v>14</v>
      </c>
      <c r="I59" t="s">
        <v>38</v>
      </c>
      <c r="J59" t="s">
        <v>39</v>
      </c>
      <c r="K59" t="s">
        <v>41</v>
      </c>
      <c r="L59" t="s">
        <v>42</v>
      </c>
      <c r="M59" t="s">
        <v>44</v>
      </c>
      <c r="N59" t="s">
        <v>45</v>
      </c>
      <c r="O59" t="s">
        <v>47</v>
      </c>
      <c r="P59" t="s">
        <v>48</v>
      </c>
      <c r="Q59" t="s">
        <v>50</v>
      </c>
      <c r="R59" t="s">
        <v>51</v>
      </c>
      <c r="S59" t="s">
        <v>52</v>
      </c>
      <c r="T59" t="s">
        <v>53</v>
      </c>
      <c r="U59" t="s">
        <v>60</v>
      </c>
      <c r="V59" t="s">
        <v>54</v>
      </c>
      <c r="W59" t="s">
        <v>55</v>
      </c>
      <c r="X59" t="s">
        <v>56</v>
      </c>
      <c r="Y59" t="s">
        <v>61</v>
      </c>
      <c r="Z59" t="s">
        <v>57</v>
      </c>
    </row>
    <row r="60" spans="2:26" x14ac:dyDescent="0.25">
      <c r="B60" s="6">
        <v>100000000</v>
      </c>
      <c r="C60" s="20">
        <v>4.4119999999999999</v>
      </c>
      <c r="D60" s="20">
        <v>-2.3969999999999998</v>
      </c>
      <c r="E60" s="20">
        <v>4.4640000000000004</v>
      </c>
      <c r="F60" s="20">
        <v>-6.0110000000000001</v>
      </c>
      <c r="G60" s="20">
        <v>4.4009999999999998</v>
      </c>
      <c r="H60" s="20">
        <v>-2.3980000000000001</v>
      </c>
      <c r="I60" s="20">
        <v>4.4859999999999998</v>
      </c>
      <c r="J60" s="20">
        <v>-6.0270000000000001</v>
      </c>
      <c r="K60" s="20">
        <v>-1.108E-3</v>
      </c>
      <c r="L60" s="20">
        <v>-0.90080000000000005</v>
      </c>
      <c r="M60" s="20">
        <v>-1.0740000000000001E-3</v>
      </c>
      <c r="N60" s="20">
        <v>-8.1010000000000009</v>
      </c>
      <c r="O60" s="20">
        <v>-3.5069999999999997E-2</v>
      </c>
      <c r="P60" s="20">
        <v>-0.87239999999999995</v>
      </c>
      <c r="Q60" s="20">
        <v>-1.0740000000000001E-3</v>
      </c>
      <c r="R60" s="20">
        <v>-8.1010000000000009</v>
      </c>
      <c r="S60" s="20">
        <f>10^(K60/20)*COS(PI()/180*L60)</f>
        <v>0.99974887375450161</v>
      </c>
      <c r="T60" s="20">
        <f>10^(K60/20)*SIN(PI()/180*L60)</f>
        <v>-1.5719272892894827E-2</v>
      </c>
      <c r="U60" s="20">
        <f>10*LOG((S60-1)^2+T60^2)</f>
        <v>-36.070242652488275</v>
      </c>
      <c r="V60" s="20">
        <f>180/PI()*ATAN2((S60-1),T60)</f>
        <v>-90.915261805623587</v>
      </c>
      <c r="W60" s="20">
        <f>10^(O60/20)*COS(PI()/180*P60)</f>
        <v>0.99585510705846148</v>
      </c>
      <c r="X60" s="20">
        <f>10^(O60/20)*SIN(PI()/180*P60)</f>
        <v>-1.5164313118295832E-2</v>
      </c>
      <c r="Y60" s="20">
        <f>10*LOG((W60-1)^2+X60^2)</f>
        <v>-36.070630557382827</v>
      </c>
      <c r="Z60" s="20">
        <f>180/PI()*ATAN2((W60-1),X60)</f>
        <v>-105.28736653370238</v>
      </c>
    </row>
    <row r="61" spans="2:26" x14ac:dyDescent="0.25">
      <c r="B61" s="6">
        <v>102300000</v>
      </c>
      <c r="C61" s="20">
        <v>4.4109999999999996</v>
      </c>
      <c r="D61" s="20">
        <v>-2.452</v>
      </c>
      <c r="E61" s="20">
        <v>4.4649999999999999</v>
      </c>
      <c r="F61" s="20">
        <v>-6.1520000000000001</v>
      </c>
      <c r="G61" s="20">
        <v>4.399</v>
      </c>
      <c r="H61" s="20">
        <v>-2.4540000000000002</v>
      </c>
      <c r="I61" s="20">
        <v>4.4889999999999999</v>
      </c>
      <c r="J61" s="20">
        <v>-6.1689999999999996</v>
      </c>
      <c r="K61" s="20">
        <v>-1.16E-3</v>
      </c>
      <c r="L61" s="20">
        <v>-0.92179999999999995</v>
      </c>
      <c r="M61" s="20">
        <v>-1.124E-3</v>
      </c>
      <c r="N61" s="20">
        <v>-8.2899999999999991</v>
      </c>
      <c r="O61" s="20">
        <v>-3.671E-2</v>
      </c>
      <c r="P61" s="20">
        <v>-0.89139999999999997</v>
      </c>
      <c r="Q61" s="20">
        <v>-1.124E-3</v>
      </c>
      <c r="R61" s="20">
        <v>-8.2899999999999991</v>
      </c>
      <c r="S61" s="20">
        <f t="shared" ref="S61:S92" si="0">10^(K60/20)*COS(PI()/180*L60)</f>
        <v>0.99974887375450161</v>
      </c>
      <c r="T61" s="20">
        <f t="shared" ref="T61:T92" si="1">10^(K60/20)*SIN(PI()/180*L60)</f>
        <v>-1.5719272892894827E-2</v>
      </c>
      <c r="U61" s="20">
        <f t="shared" ref="U61:U92" si="2">10*LOG((S60-1)^2+T60^2)</f>
        <v>-36.070242652488275</v>
      </c>
      <c r="V61" s="20">
        <f t="shared" ref="V61:V92" si="3">180/PI()*ATAN2((S60-1),T60)</f>
        <v>-90.915261805623587</v>
      </c>
      <c r="W61" s="20">
        <f t="shared" ref="W61:W92" si="4">10^(O60/20)*COS(PI()/180*P60)</f>
        <v>0.99585510705846148</v>
      </c>
      <c r="X61" s="20">
        <f t="shared" ref="X61:X92" si="5">10^(O60/20)*SIN(PI()/180*P60)</f>
        <v>-1.5164313118295832E-2</v>
      </c>
      <c r="Y61" s="20">
        <f t="shared" ref="Y61:Y92" si="6">10*LOG((W60-1)^2+X60^2)</f>
        <v>-36.070630557382827</v>
      </c>
      <c r="Z61" s="20">
        <f t="shared" ref="Z61:Z92" si="7">180/PI()*ATAN2((W60-1),X60)</f>
        <v>-105.28736653370238</v>
      </c>
    </row>
    <row r="62" spans="2:26" x14ac:dyDescent="0.25">
      <c r="B62" s="6">
        <v>104700000</v>
      </c>
      <c r="C62" s="20">
        <v>4.41</v>
      </c>
      <c r="D62" s="20">
        <v>-2.5089999999999999</v>
      </c>
      <c r="E62" s="20">
        <v>4.4660000000000002</v>
      </c>
      <c r="F62" s="20">
        <v>-6.2949999999999999</v>
      </c>
      <c r="G62" s="20">
        <v>4.3970000000000002</v>
      </c>
      <c r="H62" s="20">
        <v>-2.5110000000000001</v>
      </c>
      <c r="I62" s="20">
        <v>4.4909999999999997</v>
      </c>
      <c r="J62" s="20">
        <v>-6.3140000000000001</v>
      </c>
      <c r="K62" s="20">
        <v>-1.2149999999999999E-3</v>
      </c>
      <c r="L62" s="20">
        <v>-0.94320000000000004</v>
      </c>
      <c r="M62" s="20">
        <v>-1.178E-3</v>
      </c>
      <c r="N62" s="20">
        <v>-8.4830000000000005</v>
      </c>
      <c r="O62" s="20">
        <v>-3.8420000000000003E-2</v>
      </c>
      <c r="P62" s="20">
        <v>-0.91069999999999995</v>
      </c>
      <c r="Q62" s="20">
        <v>-1.178E-3</v>
      </c>
      <c r="R62" s="20">
        <v>-8.4830000000000005</v>
      </c>
      <c r="S62" s="20">
        <f t="shared" si="0"/>
        <v>0.99973706002392082</v>
      </c>
      <c r="T62" s="20">
        <f t="shared" si="1"/>
        <v>-1.6085602628891763E-2</v>
      </c>
      <c r="U62" s="20">
        <f t="shared" si="2"/>
        <v>-36.070242652488275</v>
      </c>
      <c r="V62" s="20">
        <f t="shared" si="3"/>
        <v>-90.915261805623587</v>
      </c>
      <c r="W62" s="20">
        <f t="shared" si="4"/>
        <v>0.99566201296386059</v>
      </c>
      <c r="X62" s="20">
        <f t="shared" si="5"/>
        <v>-1.5491625057266572E-2</v>
      </c>
      <c r="Y62" s="20">
        <f t="shared" si="6"/>
        <v>-36.070630557382827</v>
      </c>
      <c r="Z62" s="20">
        <f t="shared" si="7"/>
        <v>-105.28736653370238</v>
      </c>
    </row>
    <row r="63" spans="2:26" x14ac:dyDescent="0.25">
      <c r="B63" s="6">
        <v>107200000</v>
      </c>
      <c r="C63" s="20">
        <v>4.4080000000000004</v>
      </c>
      <c r="D63" s="20">
        <v>-2.5680000000000001</v>
      </c>
      <c r="E63" s="20">
        <v>4.468</v>
      </c>
      <c r="F63" s="20">
        <v>-6.4429999999999996</v>
      </c>
      <c r="G63" s="20">
        <v>4.3949999999999996</v>
      </c>
      <c r="H63" s="20">
        <v>-2.569</v>
      </c>
      <c r="I63" s="20">
        <v>4.4939999999999998</v>
      </c>
      <c r="J63" s="20">
        <v>-6.4619999999999997</v>
      </c>
      <c r="K63" s="20">
        <v>-1.2719999999999999E-3</v>
      </c>
      <c r="L63" s="20">
        <v>-0.96519999999999995</v>
      </c>
      <c r="M63" s="20">
        <v>-1.2329999999999999E-3</v>
      </c>
      <c r="N63" s="20">
        <v>-8.68</v>
      </c>
      <c r="O63" s="20">
        <v>-4.0210000000000003E-2</v>
      </c>
      <c r="P63" s="20">
        <v>-0.93030000000000002</v>
      </c>
      <c r="Q63" s="20">
        <v>-1.2329999999999999E-3</v>
      </c>
      <c r="R63" s="20">
        <v>-8.68</v>
      </c>
      <c r="S63" s="20">
        <f t="shared" si="0"/>
        <v>0.99972465192561089</v>
      </c>
      <c r="T63" s="20">
        <f t="shared" si="1"/>
        <v>-1.6458899530067257E-2</v>
      </c>
      <c r="U63" s="20">
        <f t="shared" si="2"/>
        <v>-35.870092996630206</v>
      </c>
      <c r="V63" s="20">
        <f t="shared" si="3"/>
        <v>-90.936490203700487</v>
      </c>
      <c r="W63" s="20">
        <f t="shared" si="4"/>
        <v>0.99546074147585728</v>
      </c>
      <c r="X63" s="20">
        <f t="shared" si="5"/>
        <v>-1.5823895899755747E-2</v>
      </c>
      <c r="Y63" s="20">
        <f t="shared" si="6"/>
        <v>-35.870213326876865</v>
      </c>
      <c r="Z63" s="20">
        <f t="shared" si="7"/>
        <v>-105.64338515306818</v>
      </c>
    </row>
    <row r="64" spans="2:26" x14ac:dyDescent="0.25">
      <c r="B64" s="6">
        <v>109600000</v>
      </c>
      <c r="C64" s="20">
        <v>4.407</v>
      </c>
      <c r="D64" s="20">
        <v>-2.6269999999999998</v>
      </c>
      <c r="E64" s="20">
        <v>4.4690000000000003</v>
      </c>
      <c r="F64" s="20">
        <v>-6.593</v>
      </c>
      <c r="G64" s="20">
        <v>4.3929999999999998</v>
      </c>
      <c r="H64" s="20">
        <v>-2.629</v>
      </c>
      <c r="I64" s="20">
        <v>4.4960000000000004</v>
      </c>
      <c r="J64" s="20">
        <v>-6.6139999999999999</v>
      </c>
      <c r="K64" s="20">
        <v>-1.3320000000000001E-3</v>
      </c>
      <c r="L64" s="20">
        <v>-0.98770000000000002</v>
      </c>
      <c r="M64" s="20">
        <v>-1.291E-3</v>
      </c>
      <c r="N64" s="20">
        <v>-8.8819999999999997</v>
      </c>
      <c r="O64" s="20">
        <v>-4.2090000000000002E-2</v>
      </c>
      <c r="P64" s="20">
        <v>-0.95030000000000003</v>
      </c>
      <c r="Q64" s="20">
        <v>-1.291E-3</v>
      </c>
      <c r="R64" s="20">
        <v>-8.8819999999999997</v>
      </c>
      <c r="S64" s="20">
        <f t="shared" si="0"/>
        <v>0.99971169796781512</v>
      </c>
      <c r="T64" s="20">
        <f t="shared" si="1"/>
        <v>-1.684265448864387E-2</v>
      </c>
      <c r="U64" s="20">
        <f t="shared" si="2"/>
        <v>-35.67076880924774</v>
      </c>
      <c r="V64" s="20">
        <f t="shared" si="3"/>
        <v>-90.958436558142139</v>
      </c>
      <c r="W64" s="20">
        <f t="shared" si="4"/>
        <v>0.99525014647572452</v>
      </c>
      <c r="X64" s="20">
        <f t="shared" si="5"/>
        <v>-1.6161095846594347E-2</v>
      </c>
      <c r="Y64" s="20">
        <f t="shared" si="6"/>
        <v>-35.670298286860771</v>
      </c>
      <c r="Z64" s="20">
        <f t="shared" si="7"/>
        <v>-106.00612048056713</v>
      </c>
    </row>
    <row r="65" spans="2:26" x14ac:dyDescent="0.25">
      <c r="B65" s="6">
        <v>112200000</v>
      </c>
      <c r="C65" s="20">
        <v>4.4059999999999997</v>
      </c>
      <c r="D65" s="20">
        <v>-2.6880000000000002</v>
      </c>
      <c r="E65" s="20">
        <v>4.4710000000000001</v>
      </c>
      <c r="F65" s="20">
        <v>-6.7480000000000002</v>
      </c>
      <c r="G65" s="20">
        <v>4.391</v>
      </c>
      <c r="H65" s="20">
        <v>-2.69</v>
      </c>
      <c r="I65" s="20">
        <v>4.4989999999999997</v>
      </c>
      <c r="J65" s="20">
        <v>-6.77</v>
      </c>
      <c r="K65" s="20">
        <v>-1.395E-3</v>
      </c>
      <c r="L65" s="20">
        <v>-1.0109999999999999</v>
      </c>
      <c r="M65" s="20">
        <v>-1.3519999999999999E-3</v>
      </c>
      <c r="N65" s="20">
        <v>-9.0890000000000004</v>
      </c>
      <c r="O65" s="20">
        <v>-4.4049999999999999E-2</v>
      </c>
      <c r="P65" s="20">
        <v>-0.97060000000000002</v>
      </c>
      <c r="Q65" s="20">
        <v>-1.3519999999999999E-3</v>
      </c>
      <c r="R65" s="20">
        <v>-9.0890000000000004</v>
      </c>
      <c r="S65" s="20">
        <f t="shared" si="0"/>
        <v>0.99969810109529367</v>
      </c>
      <c r="T65" s="20">
        <f t="shared" si="1"/>
        <v>-1.7235119989232238E-2</v>
      </c>
      <c r="U65" s="20">
        <f t="shared" si="2"/>
        <v>-35.470516892031483</v>
      </c>
      <c r="V65" s="20">
        <f t="shared" si="3"/>
        <v>-90.980657569933598</v>
      </c>
      <c r="W65" s="20">
        <f t="shared" si="4"/>
        <v>0.9950290541737189</v>
      </c>
      <c r="X65" s="20">
        <f t="shared" si="5"/>
        <v>-1.6504929930524121E-2</v>
      </c>
      <c r="Y65" s="20">
        <f t="shared" si="6"/>
        <v>-35.470761793001103</v>
      </c>
      <c r="Z65" s="20">
        <f t="shared" si="7"/>
        <v>-106.37841292355935</v>
      </c>
    </row>
    <row r="66" spans="2:26" x14ac:dyDescent="0.25">
      <c r="B66" s="6">
        <v>114800000</v>
      </c>
      <c r="C66" s="20">
        <v>4.4039999999999999</v>
      </c>
      <c r="D66" s="20">
        <v>-2.75</v>
      </c>
      <c r="E66" s="20">
        <v>4.4720000000000004</v>
      </c>
      <c r="F66" s="20">
        <v>-6.9050000000000002</v>
      </c>
      <c r="G66" s="20">
        <v>4.3890000000000002</v>
      </c>
      <c r="H66" s="20">
        <v>-2.7530000000000001</v>
      </c>
      <c r="I66" s="20">
        <v>4.5019999999999998</v>
      </c>
      <c r="J66" s="20">
        <v>-6.9290000000000003</v>
      </c>
      <c r="K66" s="20">
        <v>-1.4599999999999999E-3</v>
      </c>
      <c r="L66" s="20">
        <v>-1.034</v>
      </c>
      <c r="M66" s="20">
        <v>-1.4159999999999999E-3</v>
      </c>
      <c r="N66" s="20">
        <v>-9.3010000000000002</v>
      </c>
      <c r="O66" s="20">
        <v>-4.6109999999999998E-2</v>
      </c>
      <c r="P66" s="20">
        <v>-0.99129999999999996</v>
      </c>
      <c r="Q66" s="20">
        <v>-1.4159999999999999E-3</v>
      </c>
      <c r="R66" s="20">
        <v>-9.3010000000000002</v>
      </c>
      <c r="S66" s="20">
        <f t="shared" si="0"/>
        <v>0.99968375869451498</v>
      </c>
      <c r="T66" s="20">
        <f t="shared" si="1"/>
        <v>-1.764152954089571E-2</v>
      </c>
      <c r="U66" s="20">
        <f t="shared" si="2"/>
        <v>-35.270381443551827</v>
      </c>
      <c r="V66" s="20">
        <f t="shared" si="3"/>
        <v>-91.003518646543355</v>
      </c>
      <c r="W66" s="20">
        <f t="shared" si="4"/>
        <v>0.99479863903009635</v>
      </c>
      <c r="X66" s="20">
        <f t="shared" si="5"/>
        <v>-1.6853665994999545E-2</v>
      </c>
      <c r="Y66" s="20">
        <f t="shared" si="6"/>
        <v>-35.270637075089752</v>
      </c>
      <c r="Z66" s="20">
        <f t="shared" si="7"/>
        <v>-106.76122214587659</v>
      </c>
    </row>
    <row r="67" spans="2:26" x14ac:dyDescent="0.25">
      <c r="B67" s="6">
        <v>117500000</v>
      </c>
      <c r="C67" s="20">
        <v>4.4029999999999996</v>
      </c>
      <c r="D67" s="20">
        <v>-2.8140000000000001</v>
      </c>
      <c r="E67" s="20">
        <v>4.4740000000000002</v>
      </c>
      <c r="F67" s="20">
        <v>-7.0670000000000002</v>
      </c>
      <c r="G67" s="20">
        <v>4.3860000000000001</v>
      </c>
      <c r="H67" s="20">
        <v>-2.8170000000000002</v>
      </c>
      <c r="I67" s="20">
        <v>4.5049999999999999</v>
      </c>
      <c r="J67" s="20">
        <v>-7.093</v>
      </c>
      <c r="K67" s="20">
        <v>-1.529E-3</v>
      </c>
      <c r="L67" s="20">
        <v>-1.0580000000000001</v>
      </c>
      <c r="M67" s="20">
        <v>-1.482E-3</v>
      </c>
      <c r="N67" s="20">
        <v>-9.5180000000000007</v>
      </c>
      <c r="O67" s="20">
        <v>-4.8250000000000001E-2</v>
      </c>
      <c r="P67" s="20">
        <v>-1.012</v>
      </c>
      <c r="Q67" s="20">
        <v>-1.482E-3</v>
      </c>
      <c r="R67" s="20">
        <v>-9.5180000000000007</v>
      </c>
      <c r="S67" s="20">
        <f t="shared" si="0"/>
        <v>0.99966911543163894</v>
      </c>
      <c r="T67" s="20">
        <f t="shared" si="1"/>
        <v>-1.8042691868065796E-2</v>
      </c>
      <c r="U67" s="20">
        <f t="shared" si="2"/>
        <v>-35.067879937341992</v>
      </c>
      <c r="V67" s="20">
        <f t="shared" si="3"/>
        <v>-91.02697170484366</v>
      </c>
      <c r="W67" s="20">
        <f t="shared" si="4"/>
        <v>0.99455658191881369</v>
      </c>
      <c r="X67" s="20">
        <f t="shared" si="5"/>
        <v>-1.7208987003137603E-2</v>
      </c>
      <c r="Y67" s="20">
        <f t="shared" si="6"/>
        <v>-35.070996909714694</v>
      </c>
      <c r="Z67" s="20">
        <f t="shared" si="7"/>
        <v>-107.15121804936231</v>
      </c>
    </row>
    <row r="68" spans="2:26" x14ac:dyDescent="0.25">
      <c r="B68" s="6">
        <v>120200000</v>
      </c>
      <c r="C68" s="20">
        <v>4.4009999999999998</v>
      </c>
      <c r="D68" s="20">
        <v>-2.879</v>
      </c>
      <c r="E68" s="20">
        <v>4.4749999999999996</v>
      </c>
      <c r="F68" s="20">
        <v>-7.2320000000000002</v>
      </c>
      <c r="G68" s="20">
        <v>4.3840000000000003</v>
      </c>
      <c r="H68" s="20">
        <v>-2.8820000000000001</v>
      </c>
      <c r="I68" s="20">
        <v>4.508</v>
      </c>
      <c r="J68" s="20">
        <v>-7.26</v>
      </c>
      <c r="K68" s="20">
        <v>-1.601E-3</v>
      </c>
      <c r="L68" s="20">
        <v>-1.083</v>
      </c>
      <c r="M68" s="20">
        <v>-1.552E-3</v>
      </c>
      <c r="N68" s="20">
        <v>-9.7390000000000008</v>
      </c>
      <c r="O68" s="20">
        <v>-5.0500000000000003E-2</v>
      </c>
      <c r="P68" s="20">
        <v>-1.034</v>
      </c>
      <c r="Q68" s="20">
        <v>-1.552E-3</v>
      </c>
      <c r="R68" s="20">
        <v>-9.7390000000000008</v>
      </c>
      <c r="S68" s="20">
        <f t="shared" si="0"/>
        <v>0.99965352882820191</v>
      </c>
      <c r="T68" s="20">
        <f t="shared" si="1"/>
        <v>-1.8461284037293562E-2</v>
      </c>
      <c r="U68" s="20">
        <f t="shared" si="2"/>
        <v>-34.872512987564136</v>
      </c>
      <c r="V68" s="20">
        <f t="shared" si="3"/>
        <v>-91.050628392995932</v>
      </c>
      <c r="W68" s="20">
        <f t="shared" si="4"/>
        <v>0.9943052959508647</v>
      </c>
      <c r="X68" s="20">
        <f t="shared" si="5"/>
        <v>-1.7563974526582284E-2</v>
      </c>
      <c r="Y68" s="20">
        <f t="shared" si="6"/>
        <v>-34.870755356022897</v>
      </c>
      <c r="Z68" s="20">
        <f t="shared" si="7"/>
        <v>-107.55281520074767</v>
      </c>
    </row>
    <row r="69" spans="2:26" x14ac:dyDescent="0.25">
      <c r="B69" s="6">
        <v>123000000</v>
      </c>
      <c r="C69" s="20">
        <v>4.399</v>
      </c>
      <c r="D69" s="20">
        <v>-2.9460000000000002</v>
      </c>
      <c r="E69" s="20">
        <v>4.4770000000000003</v>
      </c>
      <c r="F69" s="20">
        <v>-7.4020000000000001</v>
      </c>
      <c r="G69" s="20">
        <v>4.3819999999999997</v>
      </c>
      <c r="H69" s="20">
        <v>-2.9489999999999998</v>
      </c>
      <c r="I69" s="20">
        <v>4.5119999999999996</v>
      </c>
      <c r="J69" s="20">
        <v>-7.431</v>
      </c>
      <c r="K69" s="20">
        <v>-1.676E-3</v>
      </c>
      <c r="L69" s="20">
        <v>-1.1080000000000001</v>
      </c>
      <c r="M69" s="20">
        <v>-1.6249999999999999E-3</v>
      </c>
      <c r="N69" s="20">
        <v>-9.9659999999999993</v>
      </c>
      <c r="O69" s="20">
        <v>-5.2850000000000001E-2</v>
      </c>
      <c r="P69" s="20">
        <v>-1.0549999999999999</v>
      </c>
      <c r="Q69" s="20">
        <v>-1.6249999999999999E-3</v>
      </c>
      <c r="R69" s="20">
        <v>-9.9659999999999993</v>
      </c>
      <c r="S69" s="20">
        <f t="shared" si="0"/>
        <v>0.99963709208130858</v>
      </c>
      <c r="T69" s="20">
        <f t="shared" si="1"/>
        <v>-1.889730675628612E-2</v>
      </c>
      <c r="U69" s="20">
        <f t="shared" si="2"/>
        <v>-34.673232525714177</v>
      </c>
      <c r="V69" s="20">
        <f t="shared" si="3"/>
        <v>-91.075169292640126</v>
      </c>
      <c r="W69" s="20">
        <f t="shared" si="4"/>
        <v>0.99404094803208243</v>
      </c>
      <c r="X69" s="20">
        <f t="shared" si="5"/>
        <v>-1.7941110966340885E-2</v>
      </c>
      <c r="Y69" s="20">
        <f t="shared" si="6"/>
        <v>-34.673438828084244</v>
      </c>
      <c r="Z69" s="20">
        <f t="shared" si="7"/>
        <v>-107.96406240308603</v>
      </c>
    </row>
    <row r="70" spans="2:26" x14ac:dyDescent="0.25">
      <c r="B70" s="6">
        <v>125900000</v>
      </c>
      <c r="C70" s="20">
        <v>4.3979999999999997</v>
      </c>
      <c r="D70" s="20">
        <v>-3.0139999999999998</v>
      </c>
      <c r="E70" s="20">
        <v>4.4790000000000001</v>
      </c>
      <c r="F70" s="20">
        <v>-7.5750000000000002</v>
      </c>
      <c r="G70" s="20">
        <v>4.3789999999999996</v>
      </c>
      <c r="H70" s="20">
        <v>-3.0169999999999999</v>
      </c>
      <c r="I70" s="20">
        <v>4.5149999999999997</v>
      </c>
      <c r="J70" s="20">
        <v>-7.6070000000000002</v>
      </c>
      <c r="K70" s="20">
        <v>-1.755E-3</v>
      </c>
      <c r="L70" s="20">
        <v>-1.1339999999999999</v>
      </c>
      <c r="M70" s="20">
        <v>-1.702E-3</v>
      </c>
      <c r="N70" s="20">
        <v>-10.199999999999999</v>
      </c>
      <c r="O70" s="20">
        <v>-5.5309999999999998E-2</v>
      </c>
      <c r="P70" s="20">
        <v>-1.077</v>
      </c>
      <c r="Q70" s="20">
        <v>-1.702E-3</v>
      </c>
      <c r="R70" s="20">
        <v>-10.199999999999999</v>
      </c>
      <c r="S70" s="20">
        <f t="shared" si="0"/>
        <v>0.99962011996639188</v>
      </c>
      <c r="T70" s="20">
        <f t="shared" si="1"/>
        <v>-1.9333311970147173E-2</v>
      </c>
      <c r="U70" s="20">
        <f t="shared" si="2"/>
        <v>-34.470400350413939</v>
      </c>
      <c r="V70" s="20">
        <f t="shared" si="3"/>
        <v>-91.100185161289303</v>
      </c>
      <c r="W70" s="20">
        <f t="shared" si="4"/>
        <v>0.99376540217435672</v>
      </c>
      <c r="X70" s="20">
        <f t="shared" si="5"/>
        <v>-1.8300492852619851E-2</v>
      </c>
      <c r="Y70" s="20">
        <f t="shared" si="6"/>
        <v>-34.46853030708386</v>
      </c>
      <c r="Z70" s="20">
        <f t="shared" si="7"/>
        <v>-108.37365394860339</v>
      </c>
    </row>
    <row r="71" spans="2:26" x14ac:dyDescent="0.25">
      <c r="B71" s="6">
        <v>128800000</v>
      </c>
      <c r="C71" s="20">
        <v>4.3959999999999999</v>
      </c>
      <c r="D71" s="20">
        <v>-3.0840000000000001</v>
      </c>
      <c r="E71" s="20">
        <v>4.4809999999999999</v>
      </c>
      <c r="F71" s="20">
        <v>-7.7530000000000001</v>
      </c>
      <c r="G71" s="20">
        <v>4.3760000000000003</v>
      </c>
      <c r="H71" s="20">
        <v>-3.0870000000000002</v>
      </c>
      <c r="I71" s="20">
        <v>4.5190000000000001</v>
      </c>
      <c r="J71" s="20">
        <v>-7.7869999999999999</v>
      </c>
      <c r="K71" s="20">
        <v>-1.838E-3</v>
      </c>
      <c r="L71" s="20">
        <v>-1.1599999999999999</v>
      </c>
      <c r="M71" s="20">
        <v>-1.7819999999999999E-3</v>
      </c>
      <c r="N71" s="20">
        <v>-10.44</v>
      </c>
      <c r="O71" s="20">
        <v>-5.7880000000000001E-2</v>
      </c>
      <c r="P71" s="20">
        <v>-1.1000000000000001</v>
      </c>
      <c r="Q71" s="20">
        <v>-1.7819999999999999E-3</v>
      </c>
      <c r="R71" s="20">
        <v>-10.44</v>
      </c>
      <c r="S71" s="20">
        <f t="shared" si="0"/>
        <v>0.99960215223248772</v>
      </c>
      <c r="T71" s="20">
        <f t="shared" si="1"/>
        <v>-1.9786743220010124E-2</v>
      </c>
      <c r="U71" s="20">
        <f t="shared" si="2"/>
        <v>-34.272198408423307</v>
      </c>
      <c r="V71" s="20">
        <f t="shared" si="3"/>
        <v>-91.125659288568443</v>
      </c>
      <c r="W71" s="20">
        <f t="shared" si="4"/>
        <v>0.99347689167858522</v>
      </c>
      <c r="X71" s="20">
        <f t="shared" si="5"/>
        <v>-1.8676779667223659E-2</v>
      </c>
      <c r="Y71" s="20">
        <f t="shared" si="6"/>
        <v>-34.273859751509342</v>
      </c>
      <c r="Z71" s="20">
        <f t="shared" si="7"/>
        <v>-108.8129104101247</v>
      </c>
    </row>
    <row r="72" spans="2:26" x14ac:dyDescent="0.25">
      <c r="B72" s="6">
        <v>131800000</v>
      </c>
      <c r="C72" s="20">
        <v>4.3940000000000001</v>
      </c>
      <c r="D72" s="20">
        <v>-3.1560000000000001</v>
      </c>
      <c r="E72" s="20">
        <v>4.4829999999999997</v>
      </c>
      <c r="F72" s="20">
        <v>-7.9340000000000002</v>
      </c>
      <c r="G72" s="20">
        <v>4.3730000000000002</v>
      </c>
      <c r="H72" s="20">
        <v>-3.1589999999999998</v>
      </c>
      <c r="I72" s="20">
        <v>4.5229999999999997</v>
      </c>
      <c r="J72" s="20">
        <v>-7.9710000000000001</v>
      </c>
      <c r="K72" s="20">
        <v>-1.9239999999999999E-3</v>
      </c>
      <c r="L72" s="20">
        <v>-1.1870000000000001</v>
      </c>
      <c r="M72" s="20">
        <v>-1.866E-3</v>
      </c>
      <c r="N72" s="20">
        <v>-10.68</v>
      </c>
      <c r="O72" s="20">
        <v>-6.0560000000000003E-2</v>
      </c>
      <c r="P72" s="20">
        <v>-1.1220000000000001</v>
      </c>
      <c r="Q72" s="20">
        <v>-1.866E-3</v>
      </c>
      <c r="R72" s="20">
        <v>-10.68</v>
      </c>
      <c r="S72" s="20">
        <f t="shared" si="0"/>
        <v>0.99958351857982919</v>
      </c>
      <c r="T72" s="20">
        <f t="shared" si="1"/>
        <v>-2.0240152824792169E-2</v>
      </c>
      <c r="U72" s="20">
        <f t="shared" si="2"/>
        <v>-34.070758221018252</v>
      </c>
      <c r="V72" s="20">
        <f t="shared" si="3"/>
        <v>-91.15187863832918</v>
      </c>
      <c r="W72" s="20">
        <f t="shared" si="4"/>
        <v>0.99317540790526093</v>
      </c>
      <c r="X72" s="20">
        <f t="shared" si="5"/>
        <v>-1.9069942045209419E-2</v>
      </c>
      <c r="Y72" s="20">
        <f t="shared" si="6"/>
        <v>-34.074090933097516</v>
      </c>
      <c r="Z72" s="20">
        <f t="shared" si="7"/>
        <v>-109.25241949279955</v>
      </c>
    </row>
    <row r="73" spans="2:26" x14ac:dyDescent="0.25">
      <c r="B73" s="6">
        <v>134900000</v>
      </c>
      <c r="C73" s="20">
        <v>4.3920000000000003</v>
      </c>
      <c r="D73" s="20">
        <v>-3.2290000000000001</v>
      </c>
      <c r="E73" s="20">
        <v>4.4850000000000003</v>
      </c>
      <c r="F73" s="20">
        <v>-8.1199999999999992</v>
      </c>
      <c r="G73" s="20">
        <v>4.37</v>
      </c>
      <c r="H73" s="20">
        <v>-3.2320000000000002</v>
      </c>
      <c r="I73" s="20">
        <v>4.5270000000000001</v>
      </c>
      <c r="J73" s="20">
        <v>-8.1590000000000007</v>
      </c>
      <c r="K73" s="20">
        <v>-2.0149999999999999E-3</v>
      </c>
      <c r="L73" s="20">
        <v>-1.2150000000000001</v>
      </c>
      <c r="M73" s="20">
        <v>-1.9530000000000001E-3</v>
      </c>
      <c r="N73" s="20">
        <v>-10.93</v>
      </c>
      <c r="O73" s="20">
        <v>-6.3369999999999996E-2</v>
      </c>
      <c r="P73" s="20">
        <v>-1.145</v>
      </c>
      <c r="Q73" s="20">
        <v>-1.9530000000000001E-3</v>
      </c>
      <c r="R73" s="20">
        <v>-10.93</v>
      </c>
      <c r="S73" s="20">
        <f t="shared" si="0"/>
        <v>0.99956397279832598</v>
      </c>
      <c r="T73" s="20">
        <f t="shared" si="1"/>
        <v>-2.0710988132916448E-2</v>
      </c>
      <c r="U73" s="20">
        <f t="shared" si="2"/>
        <v>-33.873885784943184</v>
      </c>
      <c r="V73" s="20">
        <f t="shared" si="3"/>
        <v>-91.178808320845135</v>
      </c>
      <c r="W73" s="20">
        <f t="shared" si="4"/>
        <v>0.9928616212121476</v>
      </c>
      <c r="X73" s="20">
        <f t="shared" si="5"/>
        <v>-1.944529190967987E-2</v>
      </c>
      <c r="Y73" s="20">
        <f t="shared" si="6"/>
        <v>-33.869643817493923</v>
      </c>
      <c r="Z73" s="20">
        <f t="shared" si="7"/>
        <v>-109.69084989699141</v>
      </c>
    </row>
    <row r="74" spans="2:26" x14ac:dyDescent="0.25">
      <c r="B74" s="6">
        <v>138000000</v>
      </c>
      <c r="C74" s="20">
        <v>4.3890000000000002</v>
      </c>
      <c r="D74" s="20">
        <v>-3.3039999999999998</v>
      </c>
      <c r="E74" s="20">
        <v>4.4880000000000004</v>
      </c>
      <c r="F74" s="20">
        <v>-8.3109999999999999</v>
      </c>
      <c r="G74" s="20">
        <v>4.367</v>
      </c>
      <c r="H74" s="20">
        <v>-3.3069999999999999</v>
      </c>
      <c r="I74" s="20">
        <v>4.5309999999999997</v>
      </c>
      <c r="J74" s="20">
        <v>-8.3520000000000003</v>
      </c>
      <c r="K74" s="20">
        <v>-2.1090000000000002E-3</v>
      </c>
      <c r="L74" s="20">
        <v>-1.2430000000000001</v>
      </c>
      <c r="M74" s="20">
        <v>-2.0460000000000001E-3</v>
      </c>
      <c r="N74" s="20">
        <v>-11.18</v>
      </c>
      <c r="O74" s="20">
        <v>-6.6309999999999994E-2</v>
      </c>
      <c r="P74" s="20">
        <v>-1.169</v>
      </c>
      <c r="Q74" s="20">
        <v>-2.0460000000000001E-3</v>
      </c>
      <c r="R74" s="20">
        <v>-11.18</v>
      </c>
      <c r="S74" s="20">
        <f t="shared" si="0"/>
        <v>0.99954326011073491</v>
      </c>
      <c r="T74" s="20">
        <f t="shared" si="1"/>
        <v>-2.1199242647256887E-2</v>
      </c>
      <c r="U74" s="20">
        <f t="shared" si="2"/>
        <v>-33.674059122627121</v>
      </c>
      <c r="V74" s="20">
        <f t="shared" si="3"/>
        <v>-91.206066473506098</v>
      </c>
      <c r="W74" s="20">
        <f t="shared" si="4"/>
        <v>0.99253258603197758</v>
      </c>
      <c r="X74" s="20">
        <f t="shared" si="5"/>
        <v>-1.9837431821928916E-2</v>
      </c>
      <c r="Y74" s="20">
        <f t="shared" si="6"/>
        <v>-33.674659495854648</v>
      </c>
      <c r="Z74" s="20">
        <f t="shared" si="7"/>
        <v>-110.15821760644457</v>
      </c>
    </row>
    <row r="75" spans="2:26" x14ac:dyDescent="0.25">
      <c r="B75" s="6">
        <v>141300000</v>
      </c>
      <c r="C75" s="20">
        <v>4.3869999999999996</v>
      </c>
      <c r="D75" s="20">
        <v>-3.38</v>
      </c>
      <c r="E75" s="20">
        <v>4.49</v>
      </c>
      <c r="F75" s="20">
        <v>-8.5060000000000002</v>
      </c>
      <c r="G75" s="20">
        <v>4.3639999999999999</v>
      </c>
      <c r="H75" s="20">
        <v>-3.3839999999999999</v>
      </c>
      <c r="I75" s="20">
        <v>4.5350000000000001</v>
      </c>
      <c r="J75" s="20">
        <v>-8.5500000000000007</v>
      </c>
      <c r="K75" s="20">
        <v>-2.209E-3</v>
      </c>
      <c r="L75" s="20">
        <v>-1.272</v>
      </c>
      <c r="M75" s="20">
        <v>-2.1419999999999998E-3</v>
      </c>
      <c r="N75" s="20">
        <v>-11.44</v>
      </c>
      <c r="O75" s="20">
        <v>-6.9379999999999997E-2</v>
      </c>
      <c r="P75" s="20">
        <v>-1.1919999999999999</v>
      </c>
      <c r="Q75" s="20">
        <v>-2.1419999999999998E-3</v>
      </c>
      <c r="R75" s="20">
        <v>-11.44</v>
      </c>
      <c r="S75" s="20">
        <f t="shared" si="0"/>
        <v>0.99952196381624347</v>
      </c>
      <c r="T75" s="20">
        <f t="shared" si="1"/>
        <v>-2.1687474375384024E-2</v>
      </c>
      <c r="U75" s="20">
        <f t="shared" si="2"/>
        <v>-33.471577592942474</v>
      </c>
      <c r="V75" s="20">
        <f t="shared" si="3"/>
        <v>-91.234252580099863</v>
      </c>
      <c r="W75" s="20">
        <f t="shared" si="4"/>
        <v>0.99218829672694797</v>
      </c>
      <c r="X75" s="20">
        <f t="shared" si="5"/>
        <v>-2.0246327009996366E-2</v>
      </c>
      <c r="Y75" s="20">
        <f t="shared" si="6"/>
        <v>-33.474771404803704</v>
      </c>
      <c r="Z75" s="20">
        <f t="shared" si="7"/>
        <v>-110.627867118951</v>
      </c>
    </row>
    <row r="76" spans="2:26" x14ac:dyDescent="0.25">
      <c r="B76" s="6">
        <v>144500000</v>
      </c>
      <c r="C76" s="20">
        <v>4.3849999999999998</v>
      </c>
      <c r="D76" s="20">
        <v>-3.4580000000000002</v>
      </c>
      <c r="E76" s="20">
        <v>4.4930000000000003</v>
      </c>
      <c r="F76" s="20">
        <v>-8.7050000000000001</v>
      </c>
      <c r="G76" s="20">
        <v>4.3600000000000003</v>
      </c>
      <c r="H76" s="20">
        <v>-3.4620000000000002</v>
      </c>
      <c r="I76" s="20">
        <v>4.54</v>
      </c>
      <c r="J76" s="20">
        <v>-8.7530000000000001</v>
      </c>
      <c r="K76" s="20">
        <v>-2.313E-3</v>
      </c>
      <c r="L76" s="20">
        <v>-1.302</v>
      </c>
      <c r="M76" s="20">
        <v>-2.2430000000000002E-3</v>
      </c>
      <c r="N76" s="20">
        <v>-11.71</v>
      </c>
      <c r="O76" s="20">
        <v>-7.2590000000000002E-2</v>
      </c>
      <c r="P76" s="20">
        <v>-1.216</v>
      </c>
      <c r="Q76" s="20">
        <v>-2.2430000000000002E-3</v>
      </c>
      <c r="R76" s="20">
        <v>-11.71</v>
      </c>
      <c r="S76" s="20">
        <f t="shared" si="0"/>
        <v>0.99949935154135028</v>
      </c>
      <c r="T76" s="20">
        <f t="shared" si="1"/>
        <v>-2.219311959382023E-2</v>
      </c>
      <c r="U76" s="20">
        <f t="shared" si="2"/>
        <v>-33.273710906006627</v>
      </c>
      <c r="V76" s="20">
        <f t="shared" si="3"/>
        <v>-91.262711409635941</v>
      </c>
      <c r="W76" s="20">
        <f t="shared" si="4"/>
        <v>0.99182946846597342</v>
      </c>
      <c r="X76" s="20">
        <f t="shared" si="5"/>
        <v>-2.0637319793220813E-2</v>
      </c>
      <c r="Y76" s="20">
        <f t="shared" si="6"/>
        <v>-33.270376800852631</v>
      </c>
      <c r="Z76" s="20">
        <f t="shared" si="7"/>
        <v>-111.09826558614225</v>
      </c>
    </row>
    <row r="77" spans="2:26" x14ac:dyDescent="0.25">
      <c r="B77" s="6">
        <v>147900000</v>
      </c>
      <c r="C77" s="20">
        <v>4.3819999999999997</v>
      </c>
      <c r="D77" s="20">
        <v>-3.5379999999999998</v>
      </c>
      <c r="E77" s="20">
        <v>4.4950000000000001</v>
      </c>
      <c r="F77" s="20">
        <v>-8.9090000000000007</v>
      </c>
      <c r="G77" s="20">
        <v>4.3559999999999999</v>
      </c>
      <c r="H77" s="20">
        <v>-3.5430000000000001</v>
      </c>
      <c r="I77" s="20">
        <v>4.5449999999999999</v>
      </c>
      <c r="J77" s="20">
        <v>-8.9610000000000003</v>
      </c>
      <c r="K77" s="20">
        <v>-2.421E-3</v>
      </c>
      <c r="L77" s="20">
        <v>-1.3320000000000001</v>
      </c>
      <c r="M77" s="20">
        <v>-2.3479999999999998E-3</v>
      </c>
      <c r="N77" s="20">
        <v>-11.98</v>
      </c>
      <c r="O77" s="20">
        <v>-7.5950000000000004E-2</v>
      </c>
      <c r="P77" s="20">
        <v>-1.2410000000000001</v>
      </c>
      <c r="Q77" s="20">
        <v>-2.3479999999999998E-3</v>
      </c>
      <c r="R77" s="20">
        <v>-11.98</v>
      </c>
      <c r="S77" s="20">
        <f t="shared" si="0"/>
        <v>0.99947562700684933</v>
      </c>
      <c r="T77" s="20">
        <f t="shared" si="1"/>
        <v>-2.2716181171884106E-2</v>
      </c>
      <c r="U77" s="20">
        <f t="shared" si="2"/>
        <v>-33.073423385237561</v>
      </c>
      <c r="V77" s="20">
        <f t="shared" si="3"/>
        <v>-91.292300488118912</v>
      </c>
      <c r="W77" s="20">
        <f t="shared" si="4"/>
        <v>0.99145426249630264</v>
      </c>
      <c r="X77" s="20">
        <f t="shared" si="5"/>
        <v>-2.1044995597625231E-2</v>
      </c>
      <c r="Y77" s="20">
        <f t="shared" si="6"/>
        <v>-33.074557354286284</v>
      </c>
      <c r="Z77" s="20">
        <f t="shared" si="7"/>
        <v>-111.59913260771535</v>
      </c>
    </row>
    <row r="78" spans="2:26" x14ac:dyDescent="0.25">
      <c r="B78" s="6">
        <v>151400000</v>
      </c>
      <c r="C78" s="20">
        <v>4.38</v>
      </c>
      <c r="D78" s="20">
        <v>-3.62</v>
      </c>
      <c r="E78" s="20">
        <v>4.4980000000000002</v>
      </c>
      <c r="F78" s="20">
        <v>-9.1189999999999998</v>
      </c>
      <c r="G78" s="20">
        <v>4.3529999999999998</v>
      </c>
      <c r="H78" s="20">
        <v>-3.625</v>
      </c>
      <c r="I78" s="20">
        <v>4.55</v>
      </c>
      <c r="J78" s="20">
        <v>-9.1739999999999995</v>
      </c>
      <c r="K78" s="20">
        <v>-2.5360000000000001E-3</v>
      </c>
      <c r="L78" s="20">
        <v>-1.363</v>
      </c>
      <c r="M78" s="20">
        <v>-2.4589999999999998E-3</v>
      </c>
      <c r="N78" s="20">
        <v>-12.26</v>
      </c>
      <c r="O78" s="20">
        <v>-7.9460000000000003E-2</v>
      </c>
      <c r="P78" s="20">
        <v>-1.2649999999999999</v>
      </c>
      <c r="Q78" s="20">
        <v>-2.4589999999999998E-3</v>
      </c>
      <c r="R78" s="20">
        <v>-12.26</v>
      </c>
      <c r="S78" s="20">
        <f t="shared" si="0"/>
        <v>0.99945116862417427</v>
      </c>
      <c r="T78" s="20">
        <f t="shared" si="1"/>
        <v>-2.3239213291394868E-2</v>
      </c>
      <c r="U78" s="20">
        <f t="shared" si="2"/>
        <v>-32.870979977044456</v>
      </c>
      <c r="V78" s="20">
        <f t="shared" si="3"/>
        <v>-91.322362435648017</v>
      </c>
      <c r="W78" s="20">
        <f t="shared" si="4"/>
        <v>0.99106153475365488</v>
      </c>
      <c r="X78" s="20">
        <f t="shared" si="5"/>
        <v>-2.1469290447754929E-2</v>
      </c>
      <c r="Y78" s="20">
        <f t="shared" si="6"/>
        <v>-32.87416399331422</v>
      </c>
      <c r="Z78" s="20">
        <f t="shared" si="7"/>
        <v>-112.10058649996579</v>
      </c>
    </row>
    <row r="79" spans="2:26" x14ac:dyDescent="0.25">
      <c r="B79" s="6">
        <v>154900000</v>
      </c>
      <c r="C79" s="20">
        <v>4.3769999999999998</v>
      </c>
      <c r="D79" s="20">
        <v>-3.7040000000000002</v>
      </c>
      <c r="E79" s="20">
        <v>4.5010000000000003</v>
      </c>
      <c r="F79" s="20">
        <v>-9.3330000000000002</v>
      </c>
      <c r="G79" s="20">
        <v>4.3490000000000002</v>
      </c>
      <c r="H79" s="20">
        <v>-3.7090000000000001</v>
      </c>
      <c r="I79" s="20">
        <v>4.5549999999999997</v>
      </c>
      <c r="J79" s="20">
        <v>-9.3919999999999995</v>
      </c>
      <c r="K79" s="20">
        <v>-2.6549999999999998E-3</v>
      </c>
      <c r="L79" s="20">
        <v>-1.395</v>
      </c>
      <c r="M79" s="20">
        <v>-2.575E-3</v>
      </c>
      <c r="N79" s="20">
        <v>-12.55</v>
      </c>
      <c r="O79" s="20">
        <v>-8.3129999999999996E-2</v>
      </c>
      <c r="P79" s="20">
        <v>-1.29</v>
      </c>
      <c r="Q79" s="20">
        <v>-2.575E-3</v>
      </c>
      <c r="R79" s="20">
        <v>-12.55</v>
      </c>
      <c r="S79" s="20">
        <f t="shared" si="0"/>
        <v>0.99942521637021586</v>
      </c>
      <c r="T79" s="20">
        <f t="shared" si="1"/>
        <v>-2.377965014386144E-2</v>
      </c>
      <c r="U79" s="20">
        <f t="shared" si="2"/>
        <v>-32.673149984117622</v>
      </c>
      <c r="V79" s="20">
        <f t="shared" si="3"/>
        <v>-91.352880445575053</v>
      </c>
      <c r="W79" s="20">
        <f t="shared" si="4"/>
        <v>0.99065204773351478</v>
      </c>
      <c r="X79" s="20">
        <f t="shared" si="5"/>
        <v>-2.1875581647520785E-2</v>
      </c>
      <c r="Y79" s="20">
        <f t="shared" si="6"/>
        <v>-32.669419616018729</v>
      </c>
      <c r="Z79" s="20">
        <f t="shared" si="7"/>
        <v>-112.60378069866674</v>
      </c>
    </row>
    <row r="80" spans="2:26" x14ac:dyDescent="0.25">
      <c r="B80" s="6">
        <v>158500000</v>
      </c>
      <c r="C80" s="20">
        <v>4.3739999999999997</v>
      </c>
      <c r="D80" s="20">
        <v>-3.7890000000000001</v>
      </c>
      <c r="E80" s="20">
        <v>4.5039999999999996</v>
      </c>
      <c r="F80" s="20">
        <v>-9.5519999999999996</v>
      </c>
      <c r="G80" s="20">
        <v>4.3440000000000003</v>
      </c>
      <c r="H80" s="20">
        <v>-3.794</v>
      </c>
      <c r="I80" s="20">
        <v>4.5609999999999999</v>
      </c>
      <c r="J80" s="20">
        <v>-9.6150000000000002</v>
      </c>
      <c r="K80" s="20">
        <v>-2.7799999999999999E-3</v>
      </c>
      <c r="L80" s="20">
        <v>-1.427</v>
      </c>
      <c r="M80" s="20">
        <v>-2.696E-3</v>
      </c>
      <c r="N80" s="20">
        <v>-12.84</v>
      </c>
      <c r="O80" s="20">
        <v>-8.6959999999999996E-2</v>
      </c>
      <c r="P80" s="20">
        <v>-1.3149999999999999</v>
      </c>
      <c r="Q80" s="20">
        <v>-2.696E-3</v>
      </c>
      <c r="R80" s="20">
        <v>-12.84</v>
      </c>
      <c r="S80" s="20">
        <f t="shared" si="0"/>
        <v>0.9993980872056949</v>
      </c>
      <c r="T80" s="20">
        <f t="shared" si="1"/>
        <v>-2.4337497311692959E-2</v>
      </c>
      <c r="U80" s="20">
        <f t="shared" si="2"/>
        <v>-32.473354164298868</v>
      </c>
      <c r="V80" s="20">
        <f t="shared" si="3"/>
        <v>-91.384640419099753</v>
      </c>
      <c r="W80" s="20">
        <f t="shared" si="4"/>
        <v>0.99022392626914879</v>
      </c>
      <c r="X80" s="20">
        <f t="shared" si="5"/>
        <v>-2.229840943877678E-2</v>
      </c>
      <c r="Y80" s="20">
        <f t="shared" si="6"/>
        <v>-32.47240902541602</v>
      </c>
      <c r="Z80" s="20">
        <f t="shared" si="7"/>
        <v>-113.13816194566995</v>
      </c>
    </row>
    <row r="81" spans="2:26" x14ac:dyDescent="0.25">
      <c r="B81" s="6">
        <v>162200000</v>
      </c>
      <c r="C81" s="20">
        <v>4.3710000000000004</v>
      </c>
      <c r="D81" s="20">
        <v>-3.8769999999999998</v>
      </c>
      <c r="E81" s="20">
        <v>4.5069999999999997</v>
      </c>
      <c r="F81" s="20">
        <v>-9.7769999999999992</v>
      </c>
      <c r="G81" s="20">
        <v>4.34</v>
      </c>
      <c r="H81" s="20">
        <v>-3.8820000000000001</v>
      </c>
      <c r="I81" s="20">
        <v>4.5659999999999998</v>
      </c>
      <c r="J81" s="20">
        <v>-9.8439999999999994</v>
      </c>
      <c r="K81" s="20">
        <v>-2.911E-3</v>
      </c>
      <c r="L81" s="20">
        <v>-1.4610000000000001</v>
      </c>
      <c r="M81" s="20">
        <v>-2.823E-3</v>
      </c>
      <c r="N81" s="20">
        <v>-13.14</v>
      </c>
      <c r="O81" s="20">
        <v>-9.0969999999999995E-2</v>
      </c>
      <c r="P81" s="20">
        <v>-1.34</v>
      </c>
      <c r="Q81" s="20">
        <v>-2.823E-3</v>
      </c>
      <c r="R81" s="20">
        <v>-13.14</v>
      </c>
      <c r="S81" s="20">
        <f t="shared" si="0"/>
        <v>0.99936995652018568</v>
      </c>
      <c r="T81" s="20">
        <f t="shared" si="1"/>
        <v>-2.4895304401206551E-2</v>
      </c>
      <c r="U81" s="20">
        <f t="shared" si="2"/>
        <v>-32.271826043318356</v>
      </c>
      <c r="V81" s="20">
        <f t="shared" si="3"/>
        <v>-91.416745253196169</v>
      </c>
      <c r="W81" s="20">
        <f t="shared" si="4"/>
        <v>0.98977756873904477</v>
      </c>
      <c r="X81" s="20">
        <f t="shared" si="5"/>
        <v>-2.2720453318111115E-2</v>
      </c>
      <c r="Y81" s="20">
        <f t="shared" si="6"/>
        <v>-32.270986322602425</v>
      </c>
      <c r="Z81" s="20">
        <f t="shared" si="7"/>
        <v>-113.673617308555</v>
      </c>
    </row>
    <row r="82" spans="2:26" x14ac:dyDescent="0.25">
      <c r="B82" s="6">
        <v>166000000</v>
      </c>
      <c r="C82" s="20">
        <v>4.3680000000000003</v>
      </c>
      <c r="D82" s="20">
        <v>-3.9660000000000002</v>
      </c>
      <c r="E82" s="20">
        <v>4.51</v>
      </c>
      <c r="F82" s="20">
        <v>-10.01</v>
      </c>
      <c r="G82" s="20">
        <v>4.335</v>
      </c>
      <c r="H82" s="20">
        <v>-3.972</v>
      </c>
      <c r="I82" s="20">
        <v>4.5720000000000001</v>
      </c>
      <c r="J82" s="20">
        <v>-10.08</v>
      </c>
      <c r="K82" s="20">
        <v>-3.0479999999999999E-3</v>
      </c>
      <c r="L82" s="20">
        <v>-1.4950000000000001</v>
      </c>
      <c r="M82" s="20">
        <v>-2.9559999999999999E-3</v>
      </c>
      <c r="N82" s="20">
        <v>-13.44</v>
      </c>
      <c r="O82" s="20">
        <v>-9.5149999999999998E-2</v>
      </c>
      <c r="P82" s="20">
        <v>-1.365</v>
      </c>
      <c r="Q82" s="20">
        <v>-2.9559999999999999E-3</v>
      </c>
      <c r="R82" s="20">
        <v>-13.44</v>
      </c>
      <c r="S82" s="20">
        <f t="shared" si="0"/>
        <v>0.99933993530113141</v>
      </c>
      <c r="T82" s="20">
        <f t="shared" si="1"/>
        <v>-2.5487953642972634E-2</v>
      </c>
      <c r="U82" s="20">
        <f t="shared" si="2"/>
        <v>-32.074870499868695</v>
      </c>
      <c r="V82" s="20">
        <f t="shared" si="3"/>
        <v>-91.449716292329157</v>
      </c>
      <c r="W82" s="20">
        <f t="shared" si="4"/>
        <v>0.98931072199545278</v>
      </c>
      <c r="X82" s="20">
        <f t="shared" si="5"/>
        <v>-2.3141636850544319E-2</v>
      </c>
      <c r="Y82" s="20">
        <f t="shared" si="6"/>
        <v>-32.071062902600033</v>
      </c>
      <c r="Z82" s="20">
        <f t="shared" si="7"/>
        <v>-114.22402760061156</v>
      </c>
    </row>
    <row r="83" spans="2:26" x14ac:dyDescent="0.25">
      <c r="B83" s="6">
        <v>169800000</v>
      </c>
      <c r="C83" s="20">
        <v>4.3650000000000002</v>
      </c>
      <c r="D83" s="20">
        <v>-4.0579999999999998</v>
      </c>
      <c r="E83" s="20">
        <v>4.5140000000000002</v>
      </c>
      <c r="F83" s="20">
        <v>-10.24</v>
      </c>
      <c r="G83" s="20">
        <v>4.33</v>
      </c>
      <c r="H83" s="20">
        <v>-4.0640000000000001</v>
      </c>
      <c r="I83" s="20">
        <v>4.5789999999999997</v>
      </c>
      <c r="J83" s="20">
        <v>-10.32</v>
      </c>
      <c r="K83" s="20">
        <v>-3.1909999999999998E-3</v>
      </c>
      <c r="L83" s="20">
        <v>-1.5289999999999999</v>
      </c>
      <c r="M83" s="20">
        <v>-3.0950000000000001E-3</v>
      </c>
      <c r="N83" s="20">
        <v>-13.76</v>
      </c>
      <c r="O83" s="20">
        <v>-9.9519999999999997E-2</v>
      </c>
      <c r="P83" s="20">
        <v>-1.391</v>
      </c>
      <c r="Q83" s="20">
        <v>-3.0950000000000001E-3</v>
      </c>
      <c r="R83" s="20">
        <v>-13.76</v>
      </c>
      <c r="S83" s="20">
        <f t="shared" si="0"/>
        <v>0.99930887256197032</v>
      </c>
      <c r="T83" s="20">
        <f t="shared" si="1"/>
        <v>-2.6080558011667115E-2</v>
      </c>
      <c r="U83" s="20">
        <f t="shared" si="2"/>
        <v>-31.870388960967521</v>
      </c>
      <c r="V83" s="20">
        <f t="shared" si="3"/>
        <v>-91.483464338558051</v>
      </c>
      <c r="W83" s="20">
        <f t="shared" si="4"/>
        <v>0.98882455364658495</v>
      </c>
      <c r="X83" s="20">
        <f t="shared" si="5"/>
        <v>-2.356196117580996E-2</v>
      </c>
      <c r="Y83" s="20">
        <f t="shared" si="6"/>
        <v>-31.872229527815534</v>
      </c>
      <c r="Z83" s="20">
        <f t="shared" si="7"/>
        <v>-114.79253336206335</v>
      </c>
    </row>
    <row r="84" spans="2:26" x14ac:dyDescent="0.25">
      <c r="B84" s="6">
        <v>173800000</v>
      </c>
      <c r="C84" s="20">
        <v>4.3609999999999998</v>
      </c>
      <c r="D84" s="20">
        <v>-4.1509999999999998</v>
      </c>
      <c r="E84" s="20">
        <v>4.5170000000000003</v>
      </c>
      <c r="F84" s="20">
        <v>-10.48</v>
      </c>
      <c r="G84" s="20">
        <v>4.3250000000000002</v>
      </c>
      <c r="H84" s="20">
        <v>-4.1580000000000004</v>
      </c>
      <c r="I84" s="20">
        <v>4.585</v>
      </c>
      <c r="J84" s="20">
        <v>-10.57</v>
      </c>
      <c r="K84" s="20">
        <v>-3.3419999999999999E-3</v>
      </c>
      <c r="L84" s="20">
        <v>-1.5649999999999999</v>
      </c>
      <c r="M84" s="20">
        <v>-3.241E-3</v>
      </c>
      <c r="N84" s="20">
        <v>-14.08</v>
      </c>
      <c r="O84" s="20">
        <v>-0.1041</v>
      </c>
      <c r="P84" s="20">
        <v>-1.417</v>
      </c>
      <c r="Q84" s="20">
        <v>-3.241E-3</v>
      </c>
      <c r="R84" s="20">
        <v>-14.08</v>
      </c>
      <c r="S84" s="20">
        <f t="shared" si="0"/>
        <v>0.99927676838909785</v>
      </c>
      <c r="T84" s="20">
        <f t="shared" si="1"/>
        <v>-2.6673116071271302E-2</v>
      </c>
      <c r="U84" s="20">
        <f t="shared" si="2"/>
        <v>-31.670613718356066</v>
      </c>
      <c r="V84" s="20">
        <f t="shared" si="3"/>
        <v>-91.51796675498646</v>
      </c>
      <c r="W84" s="20">
        <f t="shared" si="4"/>
        <v>0.9883163980042915</v>
      </c>
      <c r="X84" s="20">
        <f t="shared" si="5"/>
        <v>-2.3998595995603899E-2</v>
      </c>
      <c r="Y84" s="20">
        <f t="shared" si="6"/>
        <v>-31.67454930175839</v>
      </c>
      <c r="Z84" s="20">
        <f t="shared" si="7"/>
        <v>-115.37500169683038</v>
      </c>
    </row>
    <row r="85" spans="2:26" x14ac:dyDescent="0.25">
      <c r="B85" s="6">
        <v>177800000</v>
      </c>
      <c r="C85" s="20">
        <v>4.3579999999999997</v>
      </c>
      <c r="D85" s="20">
        <v>-4.2469999999999999</v>
      </c>
      <c r="E85" s="20">
        <v>4.5209999999999999</v>
      </c>
      <c r="F85" s="20">
        <v>-10.73</v>
      </c>
      <c r="G85" s="20">
        <v>4.32</v>
      </c>
      <c r="H85" s="20">
        <v>-4.2539999999999996</v>
      </c>
      <c r="I85" s="20">
        <v>4.5919999999999996</v>
      </c>
      <c r="J85" s="20">
        <v>-10.82</v>
      </c>
      <c r="K85" s="20">
        <v>-3.4989999999999999E-3</v>
      </c>
      <c r="L85" s="20">
        <v>-1.601</v>
      </c>
      <c r="M85" s="20">
        <v>-3.3939999999999999E-3</v>
      </c>
      <c r="N85" s="20">
        <v>-14.41</v>
      </c>
      <c r="O85" s="20">
        <v>-0.1089</v>
      </c>
      <c r="P85" s="20">
        <v>-1.4419999999999999</v>
      </c>
      <c r="Q85" s="20">
        <v>-3.3939999999999999E-3</v>
      </c>
      <c r="R85" s="20">
        <v>-14.41</v>
      </c>
      <c r="S85" s="20">
        <f t="shared" si="0"/>
        <v>0.99924244042913801</v>
      </c>
      <c r="T85" s="20">
        <f t="shared" si="1"/>
        <v>-2.7300500265643689E-2</v>
      </c>
      <c r="U85" s="20">
        <f t="shared" si="2"/>
        <v>-31.475333129872865</v>
      </c>
      <c r="V85" s="20">
        <f t="shared" si="3"/>
        <v>-91.553173170250318</v>
      </c>
      <c r="W85" s="20">
        <f t="shared" si="4"/>
        <v>0.987784417877413</v>
      </c>
      <c r="X85" s="20">
        <f t="shared" si="5"/>
        <v>-2.4434189914479081E-2</v>
      </c>
      <c r="Y85" s="20">
        <f t="shared" si="6"/>
        <v>-31.472522138161331</v>
      </c>
      <c r="Z85" s="20">
        <f t="shared" si="7"/>
        <v>-115.95891400871049</v>
      </c>
    </row>
    <row r="86" spans="2:26" x14ac:dyDescent="0.25">
      <c r="B86" s="6">
        <v>182000000</v>
      </c>
      <c r="C86" s="20">
        <v>4.3540000000000001</v>
      </c>
      <c r="D86" s="20">
        <v>-4.3449999999999998</v>
      </c>
      <c r="E86" s="20">
        <v>4.5250000000000004</v>
      </c>
      <c r="F86" s="20">
        <v>-10.98</v>
      </c>
      <c r="G86" s="20">
        <v>4.3140000000000001</v>
      </c>
      <c r="H86" s="20">
        <v>-4.3520000000000003</v>
      </c>
      <c r="I86" s="20">
        <v>4.5999999999999996</v>
      </c>
      <c r="J86" s="20">
        <v>-11.08</v>
      </c>
      <c r="K86" s="20">
        <v>-3.663E-3</v>
      </c>
      <c r="L86" s="20">
        <v>-1.639</v>
      </c>
      <c r="M86" s="20">
        <v>-3.5530000000000002E-3</v>
      </c>
      <c r="N86" s="20">
        <v>-14.74</v>
      </c>
      <c r="O86" s="20">
        <v>-0.1138</v>
      </c>
      <c r="P86" s="20">
        <v>-1.468</v>
      </c>
      <c r="Q86" s="20">
        <v>-3.5530000000000002E-3</v>
      </c>
      <c r="R86" s="20">
        <v>-14.74</v>
      </c>
      <c r="S86" s="20">
        <f t="shared" si="0"/>
        <v>0.99920702865448641</v>
      </c>
      <c r="T86" s="20">
        <f t="shared" si="1"/>
        <v>-2.7927832569113943E-2</v>
      </c>
      <c r="U86" s="20">
        <f t="shared" si="2"/>
        <v>-31.273245100550962</v>
      </c>
      <c r="V86" s="20">
        <f t="shared" si="3"/>
        <v>-91.58948847867056</v>
      </c>
      <c r="W86" s="20">
        <f t="shared" si="4"/>
        <v>0.98722794932255187</v>
      </c>
      <c r="X86" s="20">
        <f t="shared" si="5"/>
        <v>-2.4851452619012039E-2</v>
      </c>
      <c r="Y86" s="20">
        <f t="shared" si="6"/>
        <v>-31.27115607343519</v>
      </c>
      <c r="Z86" s="20">
        <f t="shared" si="7"/>
        <v>-116.5622131476558</v>
      </c>
    </row>
    <row r="87" spans="2:26" x14ac:dyDescent="0.25">
      <c r="B87" s="6">
        <v>186200000</v>
      </c>
      <c r="C87" s="20">
        <v>4.3499999999999996</v>
      </c>
      <c r="D87" s="20">
        <v>-4.4450000000000003</v>
      </c>
      <c r="E87" s="20">
        <v>4.5289999999999999</v>
      </c>
      <c r="F87" s="20">
        <v>-11.24</v>
      </c>
      <c r="G87" s="20">
        <v>4.3079999999999998</v>
      </c>
      <c r="H87" s="20">
        <v>-4.4530000000000003</v>
      </c>
      <c r="I87" s="20">
        <v>4.6070000000000002</v>
      </c>
      <c r="J87" s="20">
        <v>-11.34</v>
      </c>
      <c r="K87" s="20">
        <v>-3.8349999999999999E-3</v>
      </c>
      <c r="L87" s="20">
        <v>-1.677</v>
      </c>
      <c r="M87" s="20">
        <v>-3.7209999999999999E-3</v>
      </c>
      <c r="N87" s="20">
        <v>-15.08</v>
      </c>
      <c r="O87" s="20">
        <v>-0.11899999999999999</v>
      </c>
      <c r="P87" s="20">
        <v>-1.494</v>
      </c>
      <c r="Q87" s="20">
        <v>-3.7209999999999999E-3</v>
      </c>
      <c r="R87" s="20">
        <v>-15.08</v>
      </c>
      <c r="S87" s="20">
        <f t="shared" si="0"/>
        <v>0.99916942076295334</v>
      </c>
      <c r="T87" s="20">
        <f t="shared" si="1"/>
        <v>-2.8589985757231276E-2</v>
      </c>
      <c r="U87" s="20">
        <f t="shared" si="2"/>
        <v>-31.075755503508535</v>
      </c>
      <c r="V87" s="20">
        <f t="shared" si="3"/>
        <v>-91.626395733369876</v>
      </c>
      <c r="W87" s="20">
        <f t="shared" si="4"/>
        <v>0.98665980571646539</v>
      </c>
      <c r="X87" s="20">
        <f t="shared" si="5"/>
        <v>-2.528517164493857E-2</v>
      </c>
      <c r="Y87" s="20">
        <f t="shared" si="6"/>
        <v>-31.075047084782227</v>
      </c>
      <c r="Z87" s="20">
        <f t="shared" si="7"/>
        <v>-117.20025327941595</v>
      </c>
    </row>
    <row r="88" spans="2:26" x14ac:dyDescent="0.25">
      <c r="B88" s="6">
        <v>190500000</v>
      </c>
      <c r="C88" s="20">
        <v>4.3460000000000001</v>
      </c>
      <c r="D88" s="20">
        <v>-4.5469999999999997</v>
      </c>
      <c r="E88" s="20">
        <v>4.5330000000000004</v>
      </c>
      <c r="F88" s="20">
        <v>-11.51</v>
      </c>
      <c r="G88" s="20">
        <v>4.3019999999999996</v>
      </c>
      <c r="H88" s="20">
        <v>-4.5549999999999997</v>
      </c>
      <c r="I88" s="20">
        <v>4.6150000000000002</v>
      </c>
      <c r="J88" s="20">
        <v>-11.62</v>
      </c>
      <c r="K88" s="20">
        <v>-4.0159999999999996E-3</v>
      </c>
      <c r="L88" s="20">
        <v>-1.716</v>
      </c>
      <c r="M88" s="20">
        <v>-3.8960000000000002E-3</v>
      </c>
      <c r="N88" s="20">
        <v>-15.44</v>
      </c>
      <c r="O88" s="20">
        <v>-0.1245</v>
      </c>
      <c r="P88" s="20">
        <v>-1.52</v>
      </c>
      <c r="Q88" s="20">
        <v>-3.8960000000000002E-3</v>
      </c>
      <c r="R88" s="20">
        <v>-15.44</v>
      </c>
      <c r="S88" s="20">
        <f t="shared" si="0"/>
        <v>0.99913045420788604</v>
      </c>
      <c r="T88" s="20">
        <f t="shared" si="1"/>
        <v>-2.9252074413400202E-2</v>
      </c>
      <c r="U88" s="20">
        <f t="shared" si="2"/>
        <v>-30.872057389452291</v>
      </c>
      <c r="V88" s="20">
        <f t="shared" si="3"/>
        <v>-91.664054819138173</v>
      </c>
      <c r="W88" s="20">
        <f t="shared" si="4"/>
        <v>0.98605772806722725</v>
      </c>
      <c r="X88" s="20">
        <f t="shared" si="5"/>
        <v>-2.5717500083565201E-2</v>
      </c>
      <c r="Y88" s="20">
        <f t="shared" si="6"/>
        <v>-30.876181351557296</v>
      </c>
      <c r="Z88" s="20">
        <f t="shared" si="7"/>
        <v>-117.81566411907204</v>
      </c>
    </row>
    <row r="89" spans="2:26" x14ac:dyDescent="0.25">
      <c r="B89" s="6">
        <v>195000000</v>
      </c>
      <c r="C89" s="20">
        <v>4.3419999999999996</v>
      </c>
      <c r="D89" s="20">
        <v>-4.6520000000000001</v>
      </c>
      <c r="E89" s="20">
        <v>4.5380000000000003</v>
      </c>
      <c r="F89" s="20">
        <v>-11.78</v>
      </c>
      <c r="G89" s="20">
        <v>4.2949999999999999</v>
      </c>
      <c r="H89" s="20">
        <v>-4.66</v>
      </c>
      <c r="I89" s="20">
        <v>4.6230000000000002</v>
      </c>
      <c r="J89" s="20">
        <v>-11.9</v>
      </c>
      <c r="K89" s="20">
        <v>-4.2050000000000004E-3</v>
      </c>
      <c r="L89" s="20">
        <v>-1.756</v>
      </c>
      <c r="M89" s="20">
        <v>-4.0790000000000002E-3</v>
      </c>
      <c r="N89" s="20">
        <v>-15.79</v>
      </c>
      <c r="O89" s="20">
        <v>-0.13009999999999999</v>
      </c>
      <c r="P89" s="20">
        <v>-1.546</v>
      </c>
      <c r="Q89" s="20">
        <v>-4.0790000000000002E-3</v>
      </c>
      <c r="R89" s="20">
        <v>-15.79</v>
      </c>
      <c r="S89" s="20">
        <f t="shared" si="0"/>
        <v>0.99908949185538831</v>
      </c>
      <c r="T89" s="20">
        <f t="shared" si="1"/>
        <v>-2.9931530379980569E-2</v>
      </c>
      <c r="U89" s="20">
        <f t="shared" si="2"/>
        <v>-30.673030737410269</v>
      </c>
      <c r="V89" s="20">
        <f t="shared" si="3"/>
        <v>-91.702670261326233</v>
      </c>
      <c r="W89" s="20">
        <f t="shared" si="4"/>
        <v>0.98542177890192229</v>
      </c>
      <c r="X89" s="20">
        <f t="shared" si="5"/>
        <v>-2.6148393532421987E-2</v>
      </c>
      <c r="Y89" s="20">
        <f t="shared" si="6"/>
        <v>-30.676395130832038</v>
      </c>
      <c r="Z89" s="20">
        <f t="shared" si="7"/>
        <v>-118.46352469827943</v>
      </c>
    </row>
    <row r="90" spans="2:26" x14ac:dyDescent="0.25">
      <c r="B90" s="6">
        <v>199500000</v>
      </c>
      <c r="C90" s="20">
        <v>4.3369999999999997</v>
      </c>
      <c r="D90" s="20">
        <v>-4.758</v>
      </c>
      <c r="E90" s="20">
        <v>4.5430000000000001</v>
      </c>
      <c r="F90" s="20">
        <v>-12.06</v>
      </c>
      <c r="G90" s="20">
        <v>4.2889999999999997</v>
      </c>
      <c r="H90" s="20">
        <v>-4.7679999999999998</v>
      </c>
      <c r="I90" s="20">
        <v>4.6319999999999997</v>
      </c>
      <c r="J90" s="20">
        <v>-12.18</v>
      </c>
      <c r="K90" s="20">
        <v>-4.4019999999999997E-3</v>
      </c>
      <c r="L90" s="20">
        <v>-1.7969999999999999</v>
      </c>
      <c r="M90" s="20">
        <v>-4.2719999999999998E-3</v>
      </c>
      <c r="N90" s="20">
        <v>-16.16</v>
      </c>
      <c r="O90" s="20">
        <v>-0.1361</v>
      </c>
      <c r="P90" s="20">
        <v>-1.5720000000000001</v>
      </c>
      <c r="Q90" s="20">
        <v>-4.2719999999999998E-3</v>
      </c>
      <c r="R90" s="20">
        <v>-16.16</v>
      </c>
      <c r="S90" s="20">
        <f t="shared" si="0"/>
        <v>0.99904661331434219</v>
      </c>
      <c r="T90" s="20">
        <f t="shared" si="1"/>
        <v>-3.0628352612669142E-2</v>
      </c>
      <c r="U90" s="20">
        <f t="shared" si="2"/>
        <v>-30.473404627016745</v>
      </c>
      <c r="V90" s="20">
        <f t="shared" si="3"/>
        <v>-91.74238305626416</v>
      </c>
      <c r="W90" s="20">
        <f t="shared" si="4"/>
        <v>0.98477469925209027</v>
      </c>
      <c r="X90" s="20">
        <f t="shared" si="5"/>
        <v>-2.6578419777861972E-2</v>
      </c>
      <c r="Y90" s="20">
        <f t="shared" si="6"/>
        <v>-30.475645248515455</v>
      </c>
      <c r="Z90" s="20">
        <f t="shared" si="7"/>
        <v>-119.14048863789888</v>
      </c>
    </row>
    <row r="91" spans="2:26" x14ac:dyDescent="0.25">
      <c r="B91" s="6">
        <v>204200000</v>
      </c>
      <c r="C91" s="20">
        <v>4.3319999999999999</v>
      </c>
      <c r="D91" s="20">
        <v>-4.8680000000000003</v>
      </c>
      <c r="E91" s="20">
        <v>4.548</v>
      </c>
      <c r="F91" s="20">
        <v>-12.34</v>
      </c>
      <c r="G91" s="20">
        <v>4.2809999999999997</v>
      </c>
      <c r="H91" s="20">
        <v>-4.8769999999999998</v>
      </c>
      <c r="I91" s="20">
        <v>4.641</v>
      </c>
      <c r="J91" s="20">
        <v>-12.48</v>
      </c>
      <c r="K91" s="20">
        <v>-4.6100000000000004E-3</v>
      </c>
      <c r="L91" s="20">
        <v>-1.839</v>
      </c>
      <c r="M91" s="20">
        <v>-4.4730000000000004E-3</v>
      </c>
      <c r="N91" s="20">
        <v>-16.54</v>
      </c>
      <c r="O91" s="20">
        <v>-0.14219999999999999</v>
      </c>
      <c r="P91" s="20">
        <v>-1.5980000000000001</v>
      </c>
      <c r="Q91" s="20">
        <v>-4.4730000000000004E-3</v>
      </c>
      <c r="R91" s="20">
        <v>-16.54</v>
      </c>
      <c r="S91" s="20">
        <f t="shared" si="0"/>
        <v>0.99900178225980696</v>
      </c>
      <c r="T91" s="20">
        <f t="shared" si="1"/>
        <v>-3.1342536602655346E-2</v>
      </c>
      <c r="U91" s="20">
        <f t="shared" si="2"/>
        <v>-30.273321276067144</v>
      </c>
      <c r="V91" s="20">
        <f t="shared" si="3"/>
        <v>-91.782903629280071</v>
      </c>
      <c r="W91" s="20">
        <f t="shared" si="4"/>
        <v>0.98408252198968194</v>
      </c>
      <c r="X91" s="20">
        <f t="shared" si="5"/>
        <v>-2.7006631644089146E-2</v>
      </c>
      <c r="Y91" s="20">
        <f t="shared" si="6"/>
        <v>-30.276943039996404</v>
      </c>
      <c r="Z91" s="20">
        <f t="shared" si="7"/>
        <v>-119.80599970449417</v>
      </c>
    </row>
    <row r="92" spans="2:26" x14ac:dyDescent="0.25">
      <c r="B92" s="6">
        <v>208900000</v>
      </c>
      <c r="C92" s="20">
        <v>4.327</v>
      </c>
      <c r="D92" s="20">
        <v>-4.9790000000000001</v>
      </c>
      <c r="E92" s="20">
        <v>4.5529999999999999</v>
      </c>
      <c r="F92" s="20">
        <v>-12.63</v>
      </c>
      <c r="G92" s="20">
        <v>4.274</v>
      </c>
      <c r="H92" s="20">
        <v>-4.9889999999999999</v>
      </c>
      <c r="I92" s="20">
        <v>4.6509999999999998</v>
      </c>
      <c r="J92" s="20">
        <v>-12.78</v>
      </c>
      <c r="K92" s="20">
        <v>-4.8260000000000004E-3</v>
      </c>
      <c r="L92" s="20">
        <v>-1.881</v>
      </c>
      <c r="M92" s="20">
        <v>-4.6829999999999997E-3</v>
      </c>
      <c r="N92" s="20">
        <v>-16.920000000000002</v>
      </c>
      <c r="O92" s="20">
        <v>-0.1487</v>
      </c>
      <c r="P92" s="20">
        <v>-1.6240000000000001</v>
      </c>
      <c r="Q92" s="20">
        <v>-4.6829999999999997E-3</v>
      </c>
      <c r="R92" s="20">
        <v>-16.920000000000002</v>
      </c>
      <c r="S92" s="20">
        <f t="shared" si="0"/>
        <v>0.99895461644048467</v>
      </c>
      <c r="T92" s="20">
        <f t="shared" si="1"/>
        <v>-3.2074066587029389E-2</v>
      </c>
      <c r="U92" s="20">
        <f t="shared" si="2"/>
        <v>-30.072914188558663</v>
      </c>
      <c r="V92" s="20">
        <f t="shared" si="3"/>
        <v>-91.824177096760138</v>
      </c>
      <c r="W92" s="20">
        <f t="shared" si="4"/>
        <v>0.98337930695247111</v>
      </c>
      <c r="X92" s="20">
        <f t="shared" si="5"/>
        <v>-2.7433918040479999E-2</v>
      </c>
      <c r="Y92" s="20">
        <f t="shared" si="6"/>
        <v>-30.075683230706911</v>
      </c>
      <c r="Z92" s="20">
        <f t="shared" si="7"/>
        <v>-120.51473425152984</v>
      </c>
    </row>
    <row r="93" spans="2:26" x14ac:dyDescent="0.25">
      <c r="B93" s="6">
        <v>213800000</v>
      </c>
      <c r="C93" s="20">
        <v>4.3220000000000001</v>
      </c>
      <c r="D93" s="20">
        <v>-5.093</v>
      </c>
      <c r="E93" s="20">
        <v>4.5579999999999998</v>
      </c>
      <c r="F93" s="20">
        <v>-12.93</v>
      </c>
      <c r="G93" s="20">
        <v>4.266</v>
      </c>
      <c r="H93" s="20">
        <v>-5.1040000000000001</v>
      </c>
      <c r="I93" s="20">
        <v>4.6609999999999996</v>
      </c>
      <c r="J93" s="20">
        <v>-13.09</v>
      </c>
      <c r="K93" s="20">
        <v>-5.0530000000000002E-3</v>
      </c>
      <c r="L93" s="20">
        <v>-1.925</v>
      </c>
      <c r="M93" s="20">
        <v>-4.9040000000000004E-3</v>
      </c>
      <c r="N93" s="20">
        <v>-17.32</v>
      </c>
      <c r="O93" s="20">
        <v>-0.15540000000000001</v>
      </c>
      <c r="P93" s="20">
        <v>-1.649</v>
      </c>
      <c r="Q93" s="20">
        <v>-4.9040000000000004E-3</v>
      </c>
      <c r="R93" s="20">
        <v>-17.32</v>
      </c>
      <c r="S93" s="20">
        <f t="shared" ref="S93:S124" si="8">10^(K92/20)*COS(PI()/180*L92)</f>
        <v>0.99890599550985282</v>
      </c>
      <c r="T93" s="20">
        <f t="shared" ref="T93:T124" si="9">10^(K92/20)*SIN(PI()/180*L92)</f>
        <v>-3.2805514068682186E-2</v>
      </c>
      <c r="U93" s="20">
        <f t="shared" ref="U93:U124" si="10">10*LOG((S92-1)^2+T92^2)</f>
        <v>-29.872308450245431</v>
      </c>
      <c r="V93" s="20">
        <f t="shared" ref="V93:V124" si="11">180/PI()*ATAN2((S92-1),T92)</f>
        <v>-91.866768913496131</v>
      </c>
      <c r="W93" s="20">
        <f t="shared" ref="W93:W124" si="12">10^(O92/20)*COS(PI()/180*P92)</f>
        <v>0.98263113903552102</v>
      </c>
      <c r="X93" s="20">
        <f t="shared" ref="X93:X124" si="13">10^(O92/20)*SIN(PI()/180*P92)</f>
        <v>-2.7859302537292577E-2</v>
      </c>
      <c r="Y93" s="20">
        <f t="shared" ref="Y93:Y124" si="14">10*LOG((W92-1)^2+X92^2)</f>
        <v>-29.876406370392154</v>
      </c>
      <c r="Z93" s="20">
        <f t="shared" ref="Z93:Z124" si="15">180/PI()*ATAN2((W92-1),X92)</f>
        <v>-121.20935334557331</v>
      </c>
    </row>
    <row r="94" spans="2:26" x14ac:dyDescent="0.25">
      <c r="B94" s="6">
        <v>218800000</v>
      </c>
      <c r="C94" s="20">
        <v>4.3170000000000002</v>
      </c>
      <c r="D94" s="20">
        <v>-5.21</v>
      </c>
      <c r="E94" s="20">
        <v>4.5640000000000001</v>
      </c>
      <c r="F94" s="20">
        <v>-13.24</v>
      </c>
      <c r="G94" s="20">
        <v>4.2569999999999997</v>
      </c>
      <c r="H94" s="20">
        <v>-5.2210000000000001</v>
      </c>
      <c r="I94" s="20">
        <v>4.6710000000000003</v>
      </c>
      <c r="J94" s="20">
        <v>-13.41</v>
      </c>
      <c r="K94" s="20">
        <v>-5.2909999999999997E-3</v>
      </c>
      <c r="L94" s="20">
        <v>-1.97</v>
      </c>
      <c r="M94" s="20">
        <v>-5.1349999999999998E-3</v>
      </c>
      <c r="N94" s="20">
        <v>-17.72</v>
      </c>
      <c r="O94" s="20">
        <v>-0.16239999999999999</v>
      </c>
      <c r="P94" s="20">
        <v>-1.675</v>
      </c>
      <c r="Q94" s="20">
        <v>-5.1349999999999998E-3</v>
      </c>
      <c r="R94" s="20">
        <v>-17.72</v>
      </c>
      <c r="S94" s="20">
        <f t="shared" si="8"/>
        <v>0.99885440339649734</v>
      </c>
      <c r="T94" s="20">
        <f t="shared" si="9"/>
        <v>-3.3571731669131973E-2</v>
      </c>
      <c r="U94" s="20">
        <f t="shared" si="10"/>
        <v>-29.676235934720289</v>
      </c>
      <c r="V94" s="20">
        <f t="shared" si="11"/>
        <v>-91.910002666649234</v>
      </c>
      <c r="W94" s="20">
        <f t="shared" si="12"/>
        <v>0.98186122303069412</v>
      </c>
      <c r="X94" s="20">
        <f t="shared" si="13"/>
        <v>-2.8266241560090017E-2</v>
      </c>
      <c r="Y94" s="20">
        <f t="shared" si="14"/>
        <v>-29.674545399544492</v>
      </c>
      <c r="Z94" s="20">
        <f t="shared" si="15"/>
        <v>-121.94144505296035</v>
      </c>
    </row>
    <row r="95" spans="2:26" x14ac:dyDescent="0.25">
      <c r="B95" s="6">
        <v>223900000</v>
      </c>
      <c r="C95" s="20">
        <v>4.3109999999999999</v>
      </c>
      <c r="D95" s="20">
        <v>-5.3289999999999997</v>
      </c>
      <c r="E95" s="20">
        <v>4.57</v>
      </c>
      <c r="F95" s="20">
        <v>-13.55</v>
      </c>
      <c r="G95" s="20">
        <v>4.2489999999999997</v>
      </c>
      <c r="H95" s="20">
        <v>-5.3410000000000002</v>
      </c>
      <c r="I95" s="20">
        <v>4.6820000000000004</v>
      </c>
      <c r="J95" s="20">
        <v>-13.73</v>
      </c>
      <c r="K95" s="20">
        <v>-5.5399999999999998E-3</v>
      </c>
      <c r="L95" s="20">
        <v>-2.016</v>
      </c>
      <c r="M95" s="20">
        <v>-5.3769999999999998E-3</v>
      </c>
      <c r="N95" s="20">
        <v>-18.13</v>
      </c>
      <c r="O95" s="20">
        <v>-0.16969999999999999</v>
      </c>
      <c r="P95" s="20">
        <v>-1.6990000000000001</v>
      </c>
      <c r="Q95" s="20">
        <v>-5.3769999999999998E-3</v>
      </c>
      <c r="R95" s="20">
        <v>-18.13</v>
      </c>
      <c r="S95" s="20">
        <f t="shared" si="8"/>
        <v>0.99880035988451543</v>
      </c>
      <c r="T95" s="20">
        <f t="shared" si="9"/>
        <v>-3.4355278274321194E-2</v>
      </c>
      <c r="U95" s="20">
        <f t="shared" si="10"/>
        <v>-29.475470992124258</v>
      </c>
      <c r="V95" s="20">
        <f t="shared" si="11"/>
        <v>-91.95439400602163</v>
      </c>
      <c r="W95" s="20">
        <f t="shared" si="12"/>
        <v>0.9810573376487256</v>
      </c>
      <c r="X95" s="20">
        <f t="shared" si="13"/>
        <v>-2.8688663474120392E-2</v>
      </c>
      <c r="Y95" s="20">
        <f t="shared" si="14"/>
        <v>-29.476925782897712</v>
      </c>
      <c r="Z95" s="20">
        <f t="shared" si="15"/>
        <v>-122.68876282549705</v>
      </c>
    </row>
    <row r="96" spans="2:26" x14ac:dyDescent="0.25">
      <c r="B96" s="6">
        <v>229100000</v>
      </c>
      <c r="C96" s="20">
        <v>4.3049999999999997</v>
      </c>
      <c r="D96" s="20">
        <v>-5.4509999999999996</v>
      </c>
      <c r="E96" s="20">
        <v>4.5759999999999996</v>
      </c>
      <c r="F96" s="20">
        <v>-13.87</v>
      </c>
      <c r="G96" s="20">
        <v>4.2389999999999999</v>
      </c>
      <c r="H96" s="20">
        <v>-5.4630000000000001</v>
      </c>
      <c r="I96" s="20">
        <v>4.6929999999999996</v>
      </c>
      <c r="J96" s="20">
        <v>-14.07</v>
      </c>
      <c r="K96" s="20">
        <v>-5.7999999999999996E-3</v>
      </c>
      <c r="L96" s="20">
        <v>-2.0630000000000002</v>
      </c>
      <c r="M96" s="20">
        <v>-5.6299999999999996E-3</v>
      </c>
      <c r="N96" s="20">
        <v>-18.559999999999999</v>
      </c>
      <c r="O96" s="20">
        <v>-0.17730000000000001</v>
      </c>
      <c r="P96" s="20">
        <v>-1.724</v>
      </c>
      <c r="Q96" s="20">
        <v>-5.6299999999999996E-3</v>
      </c>
      <c r="R96" s="20">
        <v>-18.559999999999999</v>
      </c>
      <c r="S96" s="20">
        <f t="shared" si="8"/>
        <v>0.99874382421993446</v>
      </c>
      <c r="T96" s="20">
        <f t="shared" si="9"/>
        <v>-3.5156147596869379E-2</v>
      </c>
      <c r="U96" s="20">
        <f t="shared" si="10"/>
        <v>-29.274838406279994</v>
      </c>
      <c r="V96" s="20">
        <f t="shared" si="11"/>
        <v>-91.999879006082736</v>
      </c>
      <c r="W96" s="20">
        <f t="shared" si="12"/>
        <v>0.98022106773481177</v>
      </c>
      <c r="X96" s="20">
        <f t="shared" si="13"/>
        <v>-2.9075158980359912E-2</v>
      </c>
      <c r="Y96" s="20">
        <f t="shared" si="14"/>
        <v>-29.27432544094777</v>
      </c>
      <c r="Z96" s="20">
        <f t="shared" si="15"/>
        <v>-123.43613999511554</v>
      </c>
    </row>
    <row r="97" spans="2:26" x14ac:dyDescent="0.25">
      <c r="B97" s="6">
        <v>234400000</v>
      </c>
      <c r="C97" s="20">
        <v>4.2990000000000004</v>
      </c>
      <c r="D97" s="20">
        <v>-5.5759999999999996</v>
      </c>
      <c r="E97" s="20">
        <v>4.5819999999999999</v>
      </c>
      <c r="F97" s="20">
        <v>-14.2</v>
      </c>
      <c r="G97" s="20">
        <v>4.2300000000000004</v>
      </c>
      <c r="H97" s="20">
        <v>-5.5880000000000001</v>
      </c>
      <c r="I97" s="20">
        <v>4.7050000000000001</v>
      </c>
      <c r="J97" s="20">
        <v>-14.41</v>
      </c>
      <c r="K97" s="20">
        <v>-6.0720000000000001E-3</v>
      </c>
      <c r="L97" s="20">
        <v>-2.1110000000000002</v>
      </c>
      <c r="M97" s="20">
        <v>-5.8950000000000001E-3</v>
      </c>
      <c r="N97" s="20">
        <v>-18.989999999999998</v>
      </c>
      <c r="O97" s="20">
        <v>-0.18529999999999999</v>
      </c>
      <c r="P97" s="20">
        <v>-1.748</v>
      </c>
      <c r="Q97" s="20">
        <v>-5.8950000000000001E-3</v>
      </c>
      <c r="R97" s="20">
        <v>-18.989999999999998</v>
      </c>
      <c r="S97" s="20">
        <f t="shared" si="8"/>
        <v>0.99868475475747598</v>
      </c>
      <c r="T97" s="20">
        <f t="shared" si="9"/>
        <v>-3.597433312054648E-2</v>
      </c>
      <c r="U97" s="20">
        <f t="shared" si="10"/>
        <v>-29.07443319646195</v>
      </c>
      <c r="V97" s="20">
        <f t="shared" si="11"/>
        <v>-92.046383596270687</v>
      </c>
      <c r="W97" s="20">
        <f t="shared" si="12"/>
        <v>0.97935099816819349</v>
      </c>
      <c r="X97" s="20">
        <f t="shared" si="13"/>
        <v>-2.9477055135210858E-2</v>
      </c>
      <c r="Y97" s="20">
        <f t="shared" si="14"/>
        <v>-29.077809317824965</v>
      </c>
      <c r="Z97" s="20">
        <f t="shared" si="15"/>
        <v>-124.22624400237399</v>
      </c>
    </row>
    <row r="98" spans="2:26" x14ac:dyDescent="0.25">
      <c r="B98" s="6">
        <v>239900000</v>
      </c>
      <c r="C98" s="20">
        <v>4.2919999999999998</v>
      </c>
      <c r="D98" s="20">
        <v>-5.7030000000000003</v>
      </c>
      <c r="E98" s="20">
        <v>4.5890000000000004</v>
      </c>
      <c r="F98" s="20">
        <v>-14.54</v>
      </c>
      <c r="G98" s="20">
        <v>4.22</v>
      </c>
      <c r="H98" s="20">
        <v>-5.7160000000000002</v>
      </c>
      <c r="I98" s="20">
        <v>4.718</v>
      </c>
      <c r="J98" s="20">
        <v>-14.76</v>
      </c>
      <c r="K98" s="20">
        <v>-6.3579999999999999E-3</v>
      </c>
      <c r="L98" s="20">
        <v>-2.16</v>
      </c>
      <c r="M98" s="20">
        <v>-6.1720000000000004E-3</v>
      </c>
      <c r="N98" s="20">
        <v>-19.43</v>
      </c>
      <c r="O98" s="20">
        <v>-0.19359999999999999</v>
      </c>
      <c r="P98" s="20">
        <v>-1.7709999999999999</v>
      </c>
      <c r="Q98" s="20">
        <v>-6.1720000000000004E-3</v>
      </c>
      <c r="R98" s="20">
        <v>-19.43</v>
      </c>
      <c r="S98" s="20">
        <f t="shared" si="8"/>
        <v>0.99862299399070475</v>
      </c>
      <c r="T98" s="20">
        <f t="shared" si="9"/>
        <v>-3.6809823858802063E-2</v>
      </c>
      <c r="U98" s="20">
        <f t="shared" si="10"/>
        <v>-28.874343704133864</v>
      </c>
      <c r="V98" s="20">
        <f t="shared" si="11"/>
        <v>-92.093838724408442</v>
      </c>
      <c r="W98" s="20">
        <f t="shared" si="12"/>
        <v>0.97843697603881286</v>
      </c>
      <c r="X98" s="20">
        <f t="shared" si="13"/>
        <v>-2.9859767592754678E-2</v>
      </c>
      <c r="Y98" s="20">
        <f t="shared" si="14"/>
        <v>-28.876369919959181</v>
      </c>
      <c r="Z98" s="20">
        <f t="shared" si="15"/>
        <v>-125.01166584466587</v>
      </c>
    </row>
    <row r="99" spans="2:26" x14ac:dyDescent="0.25">
      <c r="B99" s="6">
        <v>245500000</v>
      </c>
      <c r="C99" s="20">
        <v>4.2850000000000001</v>
      </c>
      <c r="D99" s="20">
        <v>-5.8330000000000002</v>
      </c>
      <c r="E99" s="20">
        <v>4.5960000000000001</v>
      </c>
      <c r="F99" s="20">
        <v>-14.89</v>
      </c>
      <c r="G99" s="20">
        <v>4.2089999999999996</v>
      </c>
      <c r="H99" s="20">
        <v>-5.8460000000000001</v>
      </c>
      <c r="I99" s="20">
        <v>4.7309999999999999</v>
      </c>
      <c r="J99" s="20">
        <v>-15.12</v>
      </c>
      <c r="K99" s="20">
        <v>-6.6559999999999996E-3</v>
      </c>
      <c r="L99" s="20">
        <v>-2.21</v>
      </c>
      <c r="M99" s="20">
        <v>-6.463E-3</v>
      </c>
      <c r="N99" s="20">
        <v>-19.88</v>
      </c>
      <c r="O99" s="20">
        <v>-0.20219999999999999</v>
      </c>
      <c r="P99" s="20">
        <v>-1.794</v>
      </c>
      <c r="Q99" s="20">
        <v>-6.463E-3</v>
      </c>
      <c r="R99" s="20">
        <v>-19.88</v>
      </c>
      <c r="S99" s="20">
        <f t="shared" si="8"/>
        <v>0.99855826859006191</v>
      </c>
      <c r="T99" s="20">
        <f t="shared" si="9"/>
        <v>-3.7662603860202315E-2</v>
      </c>
      <c r="U99" s="20">
        <f t="shared" si="10"/>
        <v>-28.674651913443938</v>
      </c>
      <c r="V99" s="20">
        <f t="shared" si="11"/>
        <v>-92.142359089345405</v>
      </c>
      <c r="W99" s="20">
        <f t="shared" si="12"/>
        <v>0.97749040104854579</v>
      </c>
      <c r="X99" s="20">
        <f t="shared" si="13"/>
        <v>-3.022364025948136E-2</v>
      </c>
      <c r="Y99" s="20">
        <f t="shared" si="14"/>
        <v>-28.675578800777423</v>
      </c>
      <c r="Z99" s="20">
        <f t="shared" si="15"/>
        <v>-125.83467202835</v>
      </c>
    </row>
    <row r="100" spans="2:26" x14ac:dyDescent="0.25">
      <c r="B100" s="6">
        <v>251200000</v>
      </c>
      <c r="C100" s="20">
        <v>4.2779999999999996</v>
      </c>
      <c r="D100" s="20">
        <v>-5.9660000000000002</v>
      </c>
      <c r="E100" s="20">
        <v>4.6040000000000001</v>
      </c>
      <c r="F100" s="20">
        <v>-15.24</v>
      </c>
      <c r="G100" s="20">
        <v>4.1980000000000004</v>
      </c>
      <c r="H100" s="20">
        <v>-5.9790000000000001</v>
      </c>
      <c r="I100" s="20">
        <v>4.7439999999999998</v>
      </c>
      <c r="J100" s="20">
        <v>-15.49</v>
      </c>
      <c r="K100" s="20">
        <v>-6.9690000000000004E-3</v>
      </c>
      <c r="L100" s="20">
        <v>-2.2610000000000001</v>
      </c>
      <c r="M100" s="20">
        <v>-6.7669999999999996E-3</v>
      </c>
      <c r="N100" s="20">
        <v>-20.350000000000001</v>
      </c>
      <c r="O100" s="20">
        <v>-0.2112</v>
      </c>
      <c r="P100" s="20">
        <v>-1.8160000000000001</v>
      </c>
      <c r="Q100" s="20">
        <v>-6.7669999999999996E-3</v>
      </c>
      <c r="R100" s="20">
        <v>-20.350000000000001</v>
      </c>
      <c r="S100" s="20">
        <f t="shared" si="8"/>
        <v>0.99849076422344296</v>
      </c>
      <c r="T100" s="20">
        <f t="shared" si="9"/>
        <v>-3.8532673865131248E-2</v>
      </c>
      <c r="U100" s="20">
        <f t="shared" si="10"/>
        <v>-28.475433780113185</v>
      </c>
      <c r="V100" s="20">
        <f t="shared" si="11"/>
        <v>-92.192222599197564</v>
      </c>
      <c r="W100" s="20">
        <f t="shared" si="12"/>
        <v>0.97651085622286471</v>
      </c>
      <c r="X100" s="20">
        <f t="shared" si="13"/>
        <v>-3.0585729327637864E-2</v>
      </c>
      <c r="Y100" s="20">
        <f t="shared" si="14"/>
        <v>-28.4766563645315</v>
      </c>
      <c r="Z100" s="20">
        <f t="shared" si="15"/>
        <v>-126.67756015838488</v>
      </c>
    </row>
    <row r="101" spans="2:26" x14ac:dyDescent="0.25">
      <c r="B101" s="6">
        <v>257000000</v>
      </c>
      <c r="C101" s="20">
        <v>4.2699999999999996</v>
      </c>
      <c r="D101" s="20">
        <v>-6.101</v>
      </c>
      <c r="E101" s="20">
        <v>4.6109999999999998</v>
      </c>
      <c r="F101" s="20">
        <v>-15.6</v>
      </c>
      <c r="G101" s="20">
        <v>4.1859999999999999</v>
      </c>
      <c r="H101" s="20">
        <v>-6.1150000000000002</v>
      </c>
      <c r="I101" s="20">
        <v>4.758</v>
      </c>
      <c r="J101" s="20">
        <v>-15.88</v>
      </c>
      <c r="K101" s="20">
        <v>-7.2969999999999997E-3</v>
      </c>
      <c r="L101" s="20">
        <v>-2.3140000000000001</v>
      </c>
      <c r="M101" s="20">
        <v>-7.0850000000000002E-3</v>
      </c>
      <c r="N101" s="20">
        <v>-20.82</v>
      </c>
      <c r="O101" s="20">
        <v>-0.2205</v>
      </c>
      <c r="P101" s="20">
        <v>-1.837</v>
      </c>
      <c r="Q101" s="20">
        <v>-7.0850000000000002E-3</v>
      </c>
      <c r="R101" s="20">
        <v>-20.82</v>
      </c>
      <c r="S101" s="20">
        <f t="shared" si="8"/>
        <v>0.99842009087526196</v>
      </c>
      <c r="T101" s="20">
        <f t="shared" si="9"/>
        <v>-3.9420012459820457E-2</v>
      </c>
      <c r="U101" s="20">
        <f t="shared" si="10"/>
        <v>-28.276759625867044</v>
      </c>
      <c r="V101" s="20">
        <f t="shared" si="11"/>
        <v>-92.242996727744327</v>
      </c>
      <c r="W101" s="20">
        <f t="shared" si="12"/>
        <v>0.97548775172083846</v>
      </c>
      <c r="X101" s="20">
        <f t="shared" si="13"/>
        <v>-3.0928616609472548E-2</v>
      </c>
      <c r="Y101" s="20">
        <f t="shared" si="14"/>
        <v>-28.276228222751012</v>
      </c>
      <c r="Z101" s="20">
        <f t="shared" si="15"/>
        <v>-127.5234421025021</v>
      </c>
    </row>
    <row r="102" spans="2:26" x14ac:dyDescent="0.25">
      <c r="B102" s="6">
        <v>263000000</v>
      </c>
      <c r="C102" s="20">
        <v>4.2619999999999996</v>
      </c>
      <c r="D102" s="20">
        <v>-6.24</v>
      </c>
      <c r="E102" s="20">
        <v>4.62</v>
      </c>
      <c r="F102" s="20">
        <v>-15.97</v>
      </c>
      <c r="G102" s="20">
        <v>4.173</v>
      </c>
      <c r="H102" s="20">
        <v>-6.2539999999999996</v>
      </c>
      <c r="I102" s="20">
        <v>4.7729999999999997</v>
      </c>
      <c r="J102" s="20">
        <v>-16.27</v>
      </c>
      <c r="K102" s="20">
        <v>-7.639E-3</v>
      </c>
      <c r="L102" s="20">
        <v>-2.3679999999999999</v>
      </c>
      <c r="M102" s="20">
        <v>-7.4190000000000002E-3</v>
      </c>
      <c r="N102" s="20">
        <v>-21.31</v>
      </c>
      <c r="O102" s="20">
        <v>-0.23019999999999999</v>
      </c>
      <c r="P102" s="20">
        <v>-1.857</v>
      </c>
      <c r="Q102" s="20">
        <v>-7.4190000000000002E-3</v>
      </c>
      <c r="R102" s="20">
        <v>-21.31</v>
      </c>
      <c r="S102" s="20">
        <f t="shared" si="8"/>
        <v>0.99834549861439337</v>
      </c>
      <c r="T102" s="20">
        <f t="shared" si="9"/>
        <v>-4.0342035071097543E-2</v>
      </c>
      <c r="U102" s="20">
        <f t="shared" si="10"/>
        <v>-28.078694315478945</v>
      </c>
      <c r="V102" s="20">
        <f t="shared" si="11"/>
        <v>-92.295121103785732</v>
      </c>
      <c r="W102" s="20">
        <f t="shared" si="12"/>
        <v>0.97443246466854994</v>
      </c>
      <c r="X102" s="20">
        <f t="shared" si="13"/>
        <v>-3.125266924067345E-2</v>
      </c>
      <c r="Y102" s="20">
        <f t="shared" si="14"/>
        <v>-28.075915640479806</v>
      </c>
      <c r="Z102" s="20">
        <f t="shared" si="15"/>
        <v>-128.39832609756368</v>
      </c>
    </row>
    <row r="103" spans="2:26" x14ac:dyDescent="0.25">
      <c r="B103" s="6">
        <v>269200000</v>
      </c>
      <c r="C103" s="20">
        <v>4.2539999999999996</v>
      </c>
      <c r="D103" s="20">
        <v>-6.3810000000000002</v>
      </c>
      <c r="E103" s="20">
        <v>4.6280000000000001</v>
      </c>
      <c r="F103" s="20">
        <v>-16.36</v>
      </c>
      <c r="G103" s="20">
        <v>4.16</v>
      </c>
      <c r="H103" s="20">
        <v>-6.3959999999999999</v>
      </c>
      <c r="I103" s="20">
        <v>4.7889999999999997</v>
      </c>
      <c r="J103" s="20">
        <v>-16.670000000000002</v>
      </c>
      <c r="K103" s="20">
        <v>-7.9979999999999999E-3</v>
      </c>
      <c r="L103" s="20">
        <v>-2.423</v>
      </c>
      <c r="M103" s="20">
        <v>-7.7679999999999997E-3</v>
      </c>
      <c r="N103" s="20">
        <v>-21.8</v>
      </c>
      <c r="O103" s="20">
        <v>-0.2404</v>
      </c>
      <c r="P103" s="20">
        <v>-1.875</v>
      </c>
      <c r="Q103" s="20">
        <v>-7.7679999999999997E-3</v>
      </c>
      <c r="R103" s="20">
        <v>-21.8</v>
      </c>
      <c r="S103" s="20">
        <f t="shared" si="8"/>
        <v>0.998267726978323</v>
      </c>
      <c r="T103" s="20">
        <f t="shared" si="9"/>
        <v>-4.1281310029094506E-2</v>
      </c>
      <c r="U103" s="20">
        <f t="shared" si="10"/>
        <v>-27.87754537433873</v>
      </c>
      <c r="V103" s="20">
        <f t="shared" si="11"/>
        <v>-92.34848965769217</v>
      </c>
      <c r="W103" s="20">
        <f t="shared" si="12"/>
        <v>0.97333391457738117</v>
      </c>
      <c r="X103" s="20">
        <f t="shared" si="13"/>
        <v>-3.1557546731741701E-2</v>
      </c>
      <c r="Y103" s="20">
        <f t="shared" si="14"/>
        <v>-27.876983223264482</v>
      </c>
      <c r="Z103" s="20">
        <f t="shared" si="15"/>
        <v>-129.286298452588</v>
      </c>
    </row>
    <row r="104" spans="2:26" x14ac:dyDescent="0.25">
      <c r="B104" s="6">
        <v>275400000</v>
      </c>
      <c r="C104" s="20">
        <v>4.2450000000000001</v>
      </c>
      <c r="D104" s="20">
        <v>-6.5250000000000004</v>
      </c>
      <c r="E104" s="20">
        <v>4.6369999999999996</v>
      </c>
      <c r="F104" s="20">
        <v>-16.75</v>
      </c>
      <c r="G104" s="20">
        <v>4.1459999999999999</v>
      </c>
      <c r="H104" s="20">
        <v>-6.5410000000000004</v>
      </c>
      <c r="I104" s="20">
        <v>4.8049999999999997</v>
      </c>
      <c r="J104" s="20">
        <v>-17.079999999999998</v>
      </c>
      <c r="K104" s="20">
        <v>-8.3730000000000002E-3</v>
      </c>
      <c r="L104" s="20">
        <v>-2.4790000000000001</v>
      </c>
      <c r="M104" s="20">
        <v>-8.1329999999999996E-3</v>
      </c>
      <c r="N104" s="20">
        <v>-22.31</v>
      </c>
      <c r="O104" s="20">
        <v>-0.25090000000000001</v>
      </c>
      <c r="P104" s="20">
        <v>-1.893</v>
      </c>
      <c r="Q104" s="20">
        <v>-8.1329999999999996E-3</v>
      </c>
      <c r="R104" s="20">
        <v>-22.31</v>
      </c>
      <c r="S104" s="20">
        <f t="shared" si="8"/>
        <v>0.99818638254016734</v>
      </c>
      <c r="T104" s="20">
        <f t="shared" si="9"/>
        <v>-4.2237813303963166E-2</v>
      </c>
      <c r="U104" s="20">
        <f t="shared" si="10"/>
        <v>-27.677289974695629</v>
      </c>
      <c r="V104" s="20">
        <f t="shared" si="11"/>
        <v>-92.402872828711452</v>
      </c>
      <c r="W104" s="20">
        <f t="shared" si="12"/>
        <v>0.9721816310814988</v>
      </c>
      <c r="X104" s="20">
        <f t="shared" si="13"/>
        <v>-3.1825931307363262E-2</v>
      </c>
      <c r="Y104" s="20">
        <f t="shared" si="14"/>
        <v>-27.677769439328799</v>
      </c>
      <c r="Z104" s="20">
        <f t="shared" si="15"/>
        <v>-130.19776588106376</v>
      </c>
    </row>
    <row r="105" spans="2:26" x14ac:dyDescent="0.25">
      <c r="B105" s="6">
        <v>281800000</v>
      </c>
      <c r="C105" s="20">
        <v>4.2350000000000003</v>
      </c>
      <c r="D105" s="20">
        <v>-6.673</v>
      </c>
      <c r="E105" s="20">
        <v>4.6459999999999999</v>
      </c>
      <c r="F105" s="20">
        <v>-17.149999999999999</v>
      </c>
      <c r="G105" s="20">
        <v>4.1319999999999997</v>
      </c>
      <c r="H105" s="20">
        <v>-6.6879999999999997</v>
      </c>
      <c r="I105" s="20">
        <v>4.8220000000000001</v>
      </c>
      <c r="J105" s="20">
        <v>-17.510000000000002</v>
      </c>
      <c r="K105" s="20">
        <v>-8.7659999999999995E-3</v>
      </c>
      <c r="L105" s="20">
        <v>-2.5369999999999999</v>
      </c>
      <c r="M105" s="20">
        <v>-8.5159999999999993E-3</v>
      </c>
      <c r="N105" s="20">
        <v>-22.83</v>
      </c>
      <c r="O105" s="20">
        <v>-0.26179999999999998</v>
      </c>
      <c r="P105" s="20">
        <v>-1.909</v>
      </c>
      <c r="Q105" s="20">
        <v>-8.5159999999999993E-3</v>
      </c>
      <c r="R105" s="20">
        <v>-22.83</v>
      </c>
      <c r="S105" s="20">
        <f t="shared" si="8"/>
        <v>0.99810153075669839</v>
      </c>
      <c r="T105" s="20">
        <f t="shared" si="9"/>
        <v>-4.3211539121516762E-2</v>
      </c>
      <c r="U105" s="20">
        <f t="shared" si="10"/>
        <v>-27.477971792273379</v>
      </c>
      <c r="V105" s="20">
        <f t="shared" si="11"/>
        <v>-92.458669792440176</v>
      </c>
      <c r="W105" s="20">
        <f t="shared" si="12"/>
        <v>0.97099707814924052</v>
      </c>
      <c r="X105" s="20">
        <f t="shared" si="13"/>
        <v>-3.2092530854227717E-2</v>
      </c>
      <c r="Y105" s="20">
        <f t="shared" si="14"/>
        <v>-27.479358317810384</v>
      </c>
      <c r="Z105" s="20">
        <f t="shared" si="15"/>
        <v>-131.15601493606513</v>
      </c>
    </row>
    <row r="106" spans="2:26" x14ac:dyDescent="0.25">
      <c r="B106" s="6">
        <v>288400000</v>
      </c>
      <c r="C106" s="20">
        <v>4.226</v>
      </c>
      <c r="D106" s="20">
        <v>-6.8230000000000004</v>
      </c>
      <c r="E106" s="20">
        <v>4.6559999999999997</v>
      </c>
      <c r="F106" s="20">
        <v>-17.559999999999999</v>
      </c>
      <c r="G106" s="20">
        <v>4.117</v>
      </c>
      <c r="H106" s="20">
        <v>-6.8390000000000004</v>
      </c>
      <c r="I106" s="20">
        <v>4.8390000000000004</v>
      </c>
      <c r="J106" s="20">
        <v>-17.95</v>
      </c>
      <c r="K106" s="20">
        <v>-9.1780000000000004E-3</v>
      </c>
      <c r="L106" s="20">
        <v>-2.5960000000000001</v>
      </c>
      <c r="M106" s="20">
        <v>-8.9169999999999996E-3</v>
      </c>
      <c r="N106" s="20">
        <v>-23.36</v>
      </c>
      <c r="O106" s="20">
        <v>-0.2732</v>
      </c>
      <c r="P106" s="20">
        <v>-1.9239999999999999</v>
      </c>
      <c r="Q106" s="20">
        <v>-8.9169999999999996E-3</v>
      </c>
      <c r="R106" s="20">
        <v>-23.36</v>
      </c>
      <c r="S106" s="20">
        <f t="shared" si="8"/>
        <v>0.99801211984431148</v>
      </c>
      <c r="T106" s="20">
        <f t="shared" si="9"/>
        <v>-4.4219885162491417E-2</v>
      </c>
      <c r="U106" s="20">
        <f t="shared" si="10"/>
        <v>-27.279630516310615</v>
      </c>
      <c r="V106" s="20">
        <f t="shared" si="11"/>
        <v>-92.515632909582422</v>
      </c>
      <c r="W106" s="20">
        <f t="shared" si="12"/>
        <v>0.96977034104069693</v>
      </c>
      <c r="X106" s="20">
        <f t="shared" si="13"/>
        <v>-3.2323095135268431E-2</v>
      </c>
      <c r="Y106" s="20">
        <f t="shared" si="14"/>
        <v>-27.279029983253636</v>
      </c>
      <c r="Z106" s="20">
        <f t="shared" si="15"/>
        <v>-132.10500736432772</v>
      </c>
    </row>
    <row r="107" spans="2:26" x14ac:dyDescent="0.25">
      <c r="B107" s="6">
        <v>295100000</v>
      </c>
      <c r="C107" s="20">
        <v>4.2160000000000002</v>
      </c>
      <c r="D107" s="20">
        <v>-6.9770000000000003</v>
      </c>
      <c r="E107" s="20">
        <v>4.6660000000000004</v>
      </c>
      <c r="F107" s="20">
        <v>-17.98</v>
      </c>
      <c r="G107" s="20">
        <v>4.101</v>
      </c>
      <c r="H107" s="20">
        <v>-6.992</v>
      </c>
      <c r="I107" s="20">
        <v>4.8579999999999997</v>
      </c>
      <c r="J107" s="20">
        <v>-18.399999999999999</v>
      </c>
      <c r="K107" s="20">
        <v>-9.6089999999999995E-3</v>
      </c>
      <c r="L107" s="20">
        <v>-2.6560000000000001</v>
      </c>
      <c r="M107" s="20">
        <v>-9.3369999999999998E-3</v>
      </c>
      <c r="N107" s="20">
        <v>-23.91</v>
      </c>
      <c r="O107" s="20">
        <v>-0.28499999999999998</v>
      </c>
      <c r="P107" s="20">
        <v>-1.9370000000000001</v>
      </c>
      <c r="Q107" s="20">
        <v>-9.3369999999999998E-3</v>
      </c>
      <c r="R107" s="20">
        <v>-23.91</v>
      </c>
      <c r="S107" s="20">
        <f t="shared" si="8"/>
        <v>0.99791871989320524</v>
      </c>
      <c r="T107" s="20">
        <f t="shared" si="9"/>
        <v>-4.5245412598578692E-2</v>
      </c>
      <c r="U107" s="20">
        <f t="shared" si="10"/>
        <v>-27.078879984231072</v>
      </c>
      <c r="V107" s="20">
        <f t="shared" si="11"/>
        <v>-92.573966680471145</v>
      </c>
      <c r="W107" s="20">
        <f t="shared" si="12"/>
        <v>0.96848989379827199</v>
      </c>
      <c r="X107" s="20">
        <f t="shared" si="13"/>
        <v>-3.253425093018035E-2</v>
      </c>
      <c r="Y107" s="20">
        <f t="shared" si="14"/>
        <v>-27.080509770190542</v>
      </c>
      <c r="Z107" s="20">
        <f t="shared" si="15"/>
        <v>-133.08321297763823</v>
      </c>
    </row>
    <row r="108" spans="2:26" x14ac:dyDescent="0.25">
      <c r="B108" s="6">
        <v>302000000</v>
      </c>
      <c r="C108" s="20">
        <v>4.2050000000000001</v>
      </c>
      <c r="D108" s="20">
        <v>-7.1340000000000003</v>
      </c>
      <c r="E108" s="20">
        <v>4.6769999999999996</v>
      </c>
      <c r="F108" s="20">
        <v>-18.41</v>
      </c>
      <c r="G108" s="20">
        <v>4.0839999999999996</v>
      </c>
      <c r="H108" s="20">
        <v>-7.1479999999999997</v>
      </c>
      <c r="I108" s="20">
        <v>4.8769999999999998</v>
      </c>
      <c r="J108" s="20">
        <v>-18.86</v>
      </c>
      <c r="K108" s="20">
        <v>-1.0059999999999999E-2</v>
      </c>
      <c r="L108" s="20">
        <v>-2.718</v>
      </c>
      <c r="M108" s="20">
        <v>-9.776E-3</v>
      </c>
      <c r="N108" s="20">
        <v>-24.46</v>
      </c>
      <c r="O108" s="20">
        <v>-0.29730000000000001</v>
      </c>
      <c r="P108" s="20">
        <v>-1.9470000000000001</v>
      </c>
      <c r="Q108" s="20">
        <v>-9.776E-3</v>
      </c>
      <c r="R108" s="20">
        <v>-24.46</v>
      </c>
      <c r="S108" s="20">
        <f t="shared" si="8"/>
        <v>0.99782127801900222</v>
      </c>
      <c r="T108" s="20">
        <f t="shared" si="9"/>
        <v>-4.6288108733025655E-2</v>
      </c>
      <c r="U108" s="20">
        <f t="shared" si="10"/>
        <v>-26.879329056869242</v>
      </c>
      <c r="V108" s="20">
        <f t="shared" si="11"/>
        <v>-92.633738021414842</v>
      </c>
      <c r="W108" s="20">
        <f t="shared" si="12"/>
        <v>0.96716767251926627</v>
      </c>
      <c r="X108" s="20">
        <f t="shared" si="13"/>
        <v>-3.2709526563157489E-2</v>
      </c>
      <c r="Y108" s="20">
        <f t="shared" si="14"/>
        <v>-26.879572117930937</v>
      </c>
      <c r="Z108" s="20">
        <f t="shared" si="15"/>
        <v>-134.08385106546953</v>
      </c>
    </row>
    <row r="109" spans="2:26" x14ac:dyDescent="0.25">
      <c r="B109" s="6">
        <v>309000000</v>
      </c>
      <c r="C109" s="20">
        <v>4.194</v>
      </c>
      <c r="D109" s="20">
        <v>-7.2939999999999996</v>
      </c>
      <c r="E109" s="20">
        <v>4.6879999999999997</v>
      </c>
      <c r="F109" s="20">
        <v>-18.86</v>
      </c>
      <c r="G109" s="20">
        <v>4.0659999999999998</v>
      </c>
      <c r="H109" s="20">
        <v>-7.3079999999999998</v>
      </c>
      <c r="I109" s="20">
        <v>4.8970000000000002</v>
      </c>
      <c r="J109" s="20">
        <v>-19.329999999999998</v>
      </c>
      <c r="K109" s="20">
        <v>-1.0529999999999999E-2</v>
      </c>
      <c r="L109" s="20">
        <v>-2.7810000000000001</v>
      </c>
      <c r="M109" s="20">
        <v>-1.0240000000000001E-2</v>
      </c>
      <c r="N109" s="20">
        <v>-25.03</v>
      </c>
      <c r="O109" s="20">
        <v>-0.31</v>
      </c>
      <c r="P109" s="20">
        <v>-1.956</v>
      </c>
      <c r="Q109" s="20">
        <v>-1.0240000000000001E-2</v>
      </c>
      <c r="R109" s="20">
        <v>-25.03</v>
      </c>
      <c r="S109" s="20">
        <f t="shared" si="8"/>
        <v>0.99771879908447758</v>
      </c>
      <c r="T109" s="20">
        <f t="shared" si="9"/>
        <v>-4.736536852416199E-2</v>
      </c>
      <c r="U109" s="20">
        <f t="shared" si="10"/>
        <v>-26.681000273580857</v>
      </c>
      <c r="V109" s="20">
        <f t="shared" si="11"/>
        <v>-92.694850003029529</v>
      </c>
      <c r="W109" s="20">
        <f t="shared" si="12"/>
        <v>0.96579332996960177</v>
      </c>
      <c r="X109" s="20">
        <f t="shared" si="13"/>
        <v>-3.2831802950296189E-2</v>
      </c>
      <c r="Y109" s="20">
        <f t="shared" si="14"/>
        <v>-26.679910260562693</v>
      </c>
      <c r="Z109" s="20">
        <f t="shared" si="15"/>
        <v>-135.10735073285471</v>
      </c>
    </row>
    <row r="110" spans="2:26" x14ac:dyDescent="0.25">
      <c r="B110" s="6">
        <v>316200000</v>
      </c>
      <c r="C110" s="20">
        <v>4.1820000000000004</v>
      </c>
      <c r="D110" s="20">
        <v>-7.4569999999999999</v>
      </c>
      <c r="E110" s="20">
        <v>4.7</v>
      </c>
      <c r="F110" s="20">
        <v>-19.309999999999999</v>
      </c>
      <c r="G110" s="20">
        <v>4.0469999999999997</v>
      </c>
      <c r="H110" s="20">
        <v>-7.47</v>
      </c>
      <c r="I110" s="20">
        <v>4.9180000000000001</v>
      </c>
      <c r="J110" s="20">
        <v>-19.82</v>
      </c>
      <c r="K110" s="20">
        <v>-1.103E-2</v>
      </c>
      <c r="L110" s="20">
        <v>-2.8460000000000001</v>
      </c>
      <c r="M110" s="20">
        <v>-1.072E-2</v>
      </c>
      <c r="N110" s="20">
        <v>-25.61</v>
      </c>
      <c r="O110" s="20">
        <v>-0.32319999999999999</v>
      </c>
      <c r="P110" s="20">
        <v>-1.9630000000000001</v>
      </c>
      <c r="Q110" s="20">
        <v>-1.072E-2</v>
      </c>
      <c r="R110" s="20">
        <v>-25.61</v>
      </c>
      <c r="S110" s="20">
        <f t="shared" si="8"/>
        <v>0.99761213201707744</v>
      </c>
      <c r="T110" s="20">
        <f t="shared" si="9"/>
        <v>-4.8459766522212316E-2</v>
      </c>
      <c r="U110" s="20">
        <f t="shared" si="10"/>
        <v>-26.4807195396547</v>
      </c>
      <c r="V110" s="20">
        <f t="shared" si="11"/>
        <v>-92.757336663718021</v>
      </c>
      <c r="W110" s="20">
        <f t="shared" si="12"/>
        <v>0.96437707371994874</v>
      </c>
      <c r="X110" s="20">
        <f t="shared" si="13"/>
        <v>-3.2935317687535257E-2</v>
      </c>
      <c r="Y110" s="20">
        <f t="shared" si="14"/>
        <v>-26.481991416249066</v>
      </c>
      <c r="Z110" s="20">
        <f t="shared" si="15"/>
        <v>-136.17489310450372</v>
      </c>
    </row>
    <row r="111" spans="2:26" x14ac:dyDescent="0.25">
      <c r="B111" s="6">
        <v>323600000</v>
      </c>
      <c r="C111" s="20">
        <v>4.1689999999999996</v>
      </c>
      <c r="D111" s="20">
        <v>-7.6230000000000002</v>
      </c>
      <c r="E111" s="20">
        <v>4.7119999999999997</v>
      </c>
      <c r="F111" s="20">
        <v>-19.78</v>
      </c>
      <c r="G111" s="20">
        <v>4.0270000000000001</v>
      </c>
      <c r="H111" s="20">
        <v>-7.6349999999999998</v>
      </c>
      <c r="I111" s="20">
        <v>4.9400000000000004</v>
      </c>
      <c r="J111" s="20">
        <v>-20.329999999999998</v>
      </c>
      <c r="K111" s="20">
        <v>-1.154E-2</v>
      </c>
      <c r="L111" s="20">
        <v>-2.9119999999999999</v>
      </c>
      <c r="M111" s="20">
        <v>-1.1220000000000001E-2</v>
      </c>
      <c r="N111" s="20">
        <v>-26.21</v>
      </c>
      <c r="O111" s="20">
        <v>-0.33689999999999998</v>
      </c>
      <c r="P111" s="20">
        <v>-1.9670000000000001</v>
      </c>
      <c r="Q111" s="20">
        <v>-1.1220000000000001E-2</v>
      </c>
      <c r="R111" s="20">
        <v>-26.21</v>
      </c>
      <c r="S111" s="20">
        <f t="shared" si="8"/>
        <v>0.99749909188379393</v>
      </c>
      <c r="T111" s="20">
        <f t="shared" si="9"/>
        <v>-4.9588635525398751E-2</v>
      </c>
      <c r="U111" s="20">
        <f t="shared" si="10"/>
        <v>-26.28184153731916</v>
      </c>
      <c r="V111" s="20">
        <f t="shared" si="11"/>
        <v>-92.820983202914732</v>
      </c>
      <c r="W111" s="20">
        <f t="shared" si="12"/>
        <v>0.96290859210882607</v>
      </c>
      <c r="X111" s="20">
        <f t="shared" si="13"/>
        <v>-3.3002945418539202E-2</v>
      </c>
      <c r="Y111" s="20">
        <f t="shared" si="14"/>
        <v>-26.282437210983005</v>
      </c>
      <c r="Z111" s="20">
        <f t="shared" si="15"/>
        <v>-137.24494985126279</v>
      </c>
    </row>
    <row r="112" spans="2:26" x14ac:dyDescent="0.25">
      <c r="B112" s="6">
        <v>331100000</v>
      </c>
      <c r="C112" s="20">
        <v>4.1559999999999997</v>
      </c>
      <c r="D112" s="20">
        <v>-7.7930000000000001</v>
      </c>
      <c r="E112" s="20">
        <v>4.7240000000000002</v>
      </c>
      <c r="F112" s="20">
        <v>-20.25</v>
      </c>
      <c r="G112" s="20">
        <v>4.0069999999999997</v>
      </c>
      <c r="H112" s="20">
        <v>-7.8029999999999999</v>
      </c>
      <c r="I112" s="20">
        <v>4.9630000000000001</v>
      </c>
      <c r="J112" s="20">
        <v>-20.84</v>
      </c>
      <c r="K112" s="20">
        <v>-1.208E-2</v>
      </c>
      <c r="L112" s="20">
        <v>-2.9790000000000001</v>
      </c>
      <c r="M112" s="20">
        <v>-1.175E-2</v>
      </c>
      <c r="N112" s="20">
        <v>-26.82</v>
      </c>
      <c r="O112" s="20">
        <v>-0.35110000000000002</v>
      </c>
      <c r="P112" s="20">
        <v>-1.968</v>
      </c>
      <c r="Q112" s="20">
        <v>-1.175E-2</v>
      </c>
      <c r="R112" s="20">
        <v>-26.82</v>
      </c>
      <c r="S112" s="20">
        <f t="shared" si="8"/>
        <v>0.99738274412695849</v>
      </c>
      <c r="T112" s="20">
        <f t="shared" si="9"/>
        <v>-5.0734659818673915E-2</v>
      </c>
      <c r="U112" s="20">
        <f t="shared" si="10"/>
        <v>-26.081324589801902</v>
      </c>
      <c r="V112" s="20">
        <f t="shared" si="11"/>
        <v>-92.887157035636449</v>
      </c>
      <c r="W112" s="20">
        <f t="shared" si="12"/>
        <v>0.96138871888684496</v>
      </c>
      <c r="X112" s="20">
        <f t="shared" si="13"/>
        <v>-3.3018049541853035E-2</v>
      </c>
      <c r="Y112" s="20">
        <f t="shared" si="14"/>
        <v>-26.081889000860215</v>
      </c>
      <c r="Z112" s="20">
        <f t="shared" si="15"/>
        <v>-138.33816521453596</v>
      </c>
    </row>
    <row r="113" spans="2:26" x14ac:dyDescent="0.25">
      <c r="B113" s="6">
        <v>338800000</v>
      </c>
      <c r="C113" s="20">
        <v>4.1429999999999998</v>
      </c>
      <c r="D113" s="20">
        <v>-7.9660000000000002</v>
      </c>
      <c r="E113" s="20">
        <v>4.7380000000000004</v>
      </c>
      <c r="F113" s="20">
        <v>-20.74</v>
      </c>
      <c r="G113" s="20">
        <v>3.9849999999999999</v>
      </c>
      <c r="H113" s="20">
        <v>-7.9749999999999996</v>
      </c>
      <c r="I113" s="20">
        <v>4.9870000000000001</v>
      </c>
      <c r="J113" s="20">
        <v>-21.38</v>
      </c>
      <c r="K113" s="20">
        <v>-1.265E-2</v>
      </c>
      <c r="L113" s="20">
        <v>-3.0489999999999999</v>
      </c>
      <c r="M113" s="20">
        <v>-1.23E-2</v>
      </c>
      <c r="N113" s="20">
        <v>-27.45</v>
      </c>
      <c r="O113" s="20">
        <v>-0.36570000000000003</v>
      </c>
      <c r="P113" s="20">
        <v>-1.966</v>
      </c>
      <c r="Q113" s="20">
        <v>-1.23E-2</v>
      </c>
      <c r="R113" s="20">
        <v>-27.45</v>
      </c>
      <c r="S113" s="20">
        <f t="shared" si="8"/>
        <v>0.99726073317154362</v>
      </c>
      <c r="T113" s="20">
        <f t="shared" si="9"/>
        <v>-5.1897708351336051E-2</v>
      </c>
      <c r="U113" s="20">
        <f t="shared" si="10"/>
        <v>-25.882362709882074</v>
      </c>
      <c r="V113" s="20">
        <f t="shared" si="11"/>
        <v>-92.953107478011731</v>
      </c>
      <c r="W113" s="20">
        <f t="shared" si="12"/>
        <v>0.95981771512777558</v>
      </c>
      <c r="X113" s="20">
        <f t="shared" si="13"/>
        <v>-3.2980866548882451E-2</v>
      </c>
      <c r="Y113" s="20">
        <f t="shared" si="14"/>
        <v>-25.882081884976419</v>
      </c>
      <c r="Z113" s="20">
        <f t="shared" si="15"/>
        <v>-139.46492508224293</v>
      </c>
    </row>
    <row r="114" spans="2:26" x14ac:dyDescent="0.25">
      <c r="B114" s="6">
        <v>346700000</v>
      </c>
      <c r="C114" s="20">
        <v>4.1280000000000001</v>
      </c>
      <c r="D114" s="20">
        <v>-8.1419999999999995</v>
      </c>
      <c r="E114" s="20">
        <v>4.7519999999999998</v>
      </c>
      <c r="F114" s="20">
        <v>-21.25</v>
      </c>
      <c r="G114" s="20">
        <v>3.9609999999999999</v>
      </c>
      <c r="H114" s="20">
        <v>-8.1479999999999997</v>
      </c>
      <c r="I114" s="20">
        <v>5.0119999999999996</v>
      </c>
      <c r="J114" s="20">
        <v>-21.93</v>
      </c>
      <c r="K114" s="20">
        <v>-1.324E-2</v>
      </c>
      <c r="L114" s="20">
        <v>-3.1190000000000002</v>
      </c>
      <c r="M114" s="20">
        <v>-1.2880000000000001E-2</v>
      </c>
      <c r="N114" s="20">
        <v>-28.09</v>
      </c>
      <c r="O114" s="20">
        <v>-0.38090000000000002</v>
      </c>
      <c r="P114" s="20">
        <v>-1.9610000000000001</v>
      </c>
      <c r="Q114" s="20">
        <v>-1.2880000000000001E-2</v>
      </c>
      <c r="R114" s="20">
        <v>-28.09</v>
      </c>
      <c r="S114" s="20">
        <f t="shared" si="8"/>
        <v>0.99713114634959943</v>
      </c>
      <c r="T114" s="20">
        <f t="shared" si="9"/>
        <v>-5.3112567590705241E-2</v>
      </c>
      <c r="U114" s="20">
        <f t="shared" si="10"/>
        <v>-25.684954001089693</v>
      </c>
      <c r="V114" s="20">
        <f t="shared" si="11"/>
        <v>-93.021384306504146</v>
      </c>
      <c r="W114" s="20">
        <f t="shared" si="12"/>
        <v>0.95820687379326386</v>
      </c>
      <c r="X114" s="20">
        <f t="shared" si="13"/>
        <v>-3.2892028291154576E-2</v>
      </c>
      <c r="Y114" s="20">
        <f t="shared" si="14"/>
        <v>-25.682578285181918</v>
      </c>
      <c r="Z114" s="20">
        <f t="shared" si="15"/>
        <v>-140.62149183735116</v>
      </c>
    </row>
    <row r="115" spans="2:26" x14ac:dyDescent="0.25">
      <c r="B115" s="6">
        <v>354800000</v>
      </c>
      <c r="C115" s="20">
        <v>4.1130000000000004</v>
      </c>
      <c r="D115" s="20">
        <v>-8.3219999999999992</v>
      </c>
      <c r="E115" s="20">
        <v>4.766</v>
      </c>
      <c r="F115" s="20">
        <v>-21.76</v>
      </c>
      <c r="G115" s="20">
        <v>3.9369999999999998</v>
      </c>
      <c r="H115" s="20">
        <v>-8.3249999999999993</v>
      </c>
      <c r="I115" s="20">
        <v>5.0380000000000003</v>
      </c>
      <c r="J115" s="20">
        <v>-22.49</v>
      </c>
      <c r="K115" s="20">
        <v>-1.3860000000000001E-2</v>
      </c>
      <c r="L115" s="20">
        <v>-3.1920000000000002</v>
      </c>
      <c r="M115" s="20">
        <v>-1.349E-2</v>
      </c>
      <c r="N115" s="20">
        <v>-28.74</v>
      </c>
      <c r="O115" s="20">
        <v>-0.39660000000000001</v>
      </c>
      <c r="P115" s="20">
        <v>-1.952</v>
      </c>
      <c r="Q115" s="20">
        <v>-1.349E-2</v>
      </c>
      <c r="R115" s="20">
        <v>-28.74</v>
      </c>
      <c r="S115" s="20">
        <f t="shared" si="8"/>
        <v>0.9969977883203669</v>
      </c>
      <c r="T115" s="20">
        <f t="shared" si="9"/>
        <v>-5.4327062799986836E-2</v>
      </c>
      <c r="U115" s="20">
        <f t="shared" si="10"/>
        <v>-25.483401640617743</v>
      </c>
      <c r="V115" s="20">
        <f t="shared" si="11"/>
        <v>-93.091803612586176</v>
      </c>
      <c r="W115" s="20">
        <f t="shared" si="12"/>
        <v>0.95653437366658445</v>
      </c>
      <c r="X115" s="20">
        <f t="shared" si="13"/>
        <v>-3.2751045491885226E-2</v>
      </c>
      <c r="Y115" s="20">
        <f t="shared" si="14"/>
        <v>-25.484359981212702</v>
      </c>
      <c r="Z115" s="20">
        <f t="shared" si="15"/>
        <v>-141.79654501490154</v>
      </c>
    </row>
    <row r="116" spans="2:26" x14ac:dyDescent="0.25">
      <c r="B116" s="6">
        <v>363100000</v>
      </c>
      <c r="C116" s="20">
        <v>4.0979999999999999</v>
      </c>
      <c r="D116" s="20">
        <v>-8.5050000000000008</v>
      </c>
      <c r="E116" s="20">
        <v>4.7809999999999997</v>
      </c>
      <c r="F116" s="20">
        <v>-22.29</v>
      </c>
      <c r="G116" s="20">
        <v>3.911</v>
      </c>
      <c r="H116" s="20">
        <v>-8.5039999999999996</v>
      </c>
      <c r="I116" s="20">
        <v>5.0650000000000004</v>
      </c>
      <c r="J116" s="20">
        <v>-23.08</v>
      </c>
      <c r="K116" s="20">
        <v>-1.451E-2</v>
      </c>
      <c r="L116" s="20">
        <v>-3.266</v>
      </c>
      <c r="M116" s="20">
        <v>-1.4120000000000001E-2</v>
      </c>
      <c r="N116" s="20">
        <v>-29.41</v>
      </c>
      <c r="O116" s="20">
        <v>-0.4128</v>
      </c>
      <c r="P116" s="20">
        <v>-1.9390000000000001</v>
      </c>
      <c r="Q116" s="20">
        <v>-1.4120000000000001E-2</v>
      </c>
      <c r="R116" s="20">
        <v>-29.41</v>
      </c>
      <c r="S116" s="20">
        <f t="shared" si="8"/>
        <v>0.99685660323476766</v>
      </c>
      <c r="T116" s="20">
        <f t="shared" si="9"/>
        <v>-5.5593315226468772E-2</v>
      </c>
      <c r="U116" s="20">
        <f t="shared" si="10"/>
        <v>-25.286432923273587</v>
      </c>
      <c r="V116" s="20">
        <f t="shared" si="11"/>
        <v>-93.163051102554718</v>
      </c>
      <c r="W116" s="20">
        <f t="shared" si="12"/>
        <v>0.95481209484929219</v>
      </c>
      <c r="X116" s="20">
        <f t="shared" si="13"/>
        <v>-3.254191935583596E-2</v>
      </c>
      <c r="Y116" s="20">
        <f t="shared" si="14"/>
        <v>-25.284308321096059</v>
      </c>
      <c r="Z116" s="20">
        <f t="shared" si="15"/>
        <v>-143.00223084001055</v>
      </c>
    </row>
    <row r="117" spans="2:26" x14ac:dyDescent="0.25">
      <c r="B117" s="6">
        <v>371500000</v>
      </c>
      <c r="C117" s="20">
        <v>4.0810000000000004</v>
      </c>
      <c r="D117" s="20">
        <v>-8.6910000000000007</v>
      </c>
      <c r="E117" s="20">
        <v>4.7969999999999997</v>
      </c>
      <c r="F117" s="20">
        <v>-22.84</v>
      </c>
      <c r="G117" s="20">
        <v>3.8839999999999999</v>
      </c>
      <c r="H117" s="20">
        <v>-8.6859999999999999</v>
      </c>
      <c r="I117" s="20">
        <v>5.093</v>
      </c>
      <c r="J117" s="20">
        <v>-23.68</v>
      </c>
      <c r="K117" s="20">
        <v>-1.519E-2</v>
      </c>
      <c r="L117" s="20">
        <v>-3.3420000000000001</v>
      </c>
      <c r="M117" s="20">
        <v>-1.478E-2</v>
      </c>
      <c r="N117" s="20">
        <v>-30.09</v>
      </c>
      <c r="O117" s="20">
        <v>-0.42949999999999999</v>
      </c>
      <c r="P117" s="20">
        <v>-1.9219999999999999</v>
      </c>
      <c r="Q117" s="20">
        <v>-1.478E-2</v>
      </c>
      <c r="R117" s="20">
        <v>-30.09</v>
      </c>
      <c r="S117" s="20">
        <f t="shared" si="8"/>
        <v>0.99670938008486765</v>
      </c>
      <c r="T117" s="20">
        <f t="shared" si="9"/>
        <v>-5.6876495857868734E-2</v>
      </c>
      <c r="U117" s="20">
        <f t="shared" si="10"/>
        <v>-25.085685947348978</v>
      </c>
      <c r="V117" s="20">
        <f t="shared" si="11"/>
        <v>-93.236212838541846</v>
      </c>
      <c r="W117" s="20">
        <f t="shared" si="12"/>
        <v>0.95304028551015929</v>
      </c>
      <c r="X117" s="20">
        <f t="shared" si="13"/>
        <v>-3.2265045035155926E-2</v>
      </c>
      <c r="Y117" s="20">
        <f t="shared" si="14"/>
        <v>-25.085089774991932</v>
      </c>
      <c r="Z117" s="20">
        <f t="shared" si="15"/>
        <v>-144.24057869128046</v>
      </c>
    </row>
    <row r="118" spans="2:26" x14ac:dyDescent="0.25">
      <c r="B118" s="6">
        <v>380200000</v>
      </c>
      <c r="C118" s="20">
        <v>4.0629999999999997</v>
      </c>
      <c r="D118" s="20">
        <v>-8.8810000000000002</v>
      </c>
      <c r="E118" s="20">
        <v>4.8140000000000001</v>
      </c>
      <c r="F118" s="20">
        <v>-23.4</v>
      </c>
      <c r="G118" s="20">
        <v>3.855</v>
      </c>
      <c r="H118" s="20">
        <v>-8.8699999999999992</v>
      </c>
      <c r="I118" s="20">
        <v>5.1230000000000002</v>
      </c>
      <c r="J118" s="20">
        <v>-24.3</v>
      </c>
      <c r="K118" s="20">
        <v>-1.5900000000000001E-2</v>
      </c>
      <c r="L118" s="20">
        <v>-3.419</v>
      </c>
      <c r="M118" s="20">
        <v>-1.5480000000000001E-2</v>
      </c>
      <c r="N118" s="20">
        <v>-30.79</v>
      </c>
      <c r="O118" s="20">
        <v>-0.44669999999999999</v>
      </c>
      <c r="P118" s="20">
        <v>-1.9</v>
      </c>
      <c r="Q118" s="20">
        <v>-1.5480000000000001E-2</v>
      </c>
      <c r="R118" s="20">
        <v>-30.79</v>
      </c>
      <c r="S118" s="20">
        <f t="shared" si="8"/>
        <v>0.99655503817740831</v>
      </c>
      <c r="T118" s="20">
        <f t="shared" si="9"/>
        <v>-5.8193974759879717E-2</v>
      </c>
      <c r="U118" s="20">
        <f t="shared" si="10"/>
        <v>-24.886830662662266</v>
      </c>
      <c r="V118" s="20">
        <f t="shared" si="11"/>
        <v>-93.311186615579743</v>
      </c>
      <c r="W118" s="20">
        <f t="shared" si="12"/>
        <v>0.95121918781121861</v>
      </c>
      <c r="X118" s="20">
        <f t="shared" si="13"/>
        <v>-3.1920838962610325E-2</v>
      </c>
      <c r="Y118" s="20">
        <f t="shared" si="14"/>
        <v>-24.886183161556406</v>
      </c>
      <c r="Z118" s="20">
        <f t="shared" si="15"/>
        <v>-145.5078504155523</v>
      </c>
    </row>
    <row r="119" spans="2:26" x14ac:dyDescent="0.25">
      <c r="B119" s="6">
        <v>389000000</v>
      </c>
      <c r="C119" s="20">
        <v>4.0449999999999999</v>
      </c>
      <c r="D119" s="20">
        <v>-9.0739999999999998</v>
      </c>
      <c r="E119" s="20">
        <v>4.8310000000000004</v>
      </c>
      <c r="F119" s="20">
        <v>-23.97</v>
      </c>
      <c r="G119" s="20">
        <v>3.8250000000000002</v>
      </c>
      <c r="H119" s="20">
        <v>-9.0559999999999992</v>
      </c>
      <c r="I119" s="20">
        <v>5.1529999999999996</v>
      </c>
      <c r="J119" s="20">
        <v>-24.94</v>
      </c>
      <c r="K119" s="20">
        <v>-1.6650000000000002E-2</v>
      </c>
      <c r="L119" s="20">
        <v>-3.4990000000000001</v>
      </c>
      <c r="M119" s="20">
        <v>-1.6209999999999999E-2</v>
      </c>
      <c r="N119" s="20">
        <v>-31.51</v>
      </c>
      <c r="O119" s="20">
        <v>-0.46439999999999998</v>
      </c>
      <c r="P119" s="20">
        <v>-1.8740000000000001</v>
      </c>
      <c r="Q119" s="20">
        <v>-1.6209999999999999E-2</v>
      </c>
      <c r="R119" s="20">
        <v>-31.51</v>
      </c>
      <c r="S119" s="20">
        <f t="shared" si="8"/>
        <v>0.99639448080773785</v>
      </c>
      <c r="T119" s="20">
        <f t="shared" si="9"/>
        <v>-5.9528329483114865E-2</v>
      </c>
      <c r="U119" s="20">
        <f t="shared" si="10"/>
        <v>-24.687246793474671</v>
      </c>
      <c r="V119" s="20">
        <f t="shared" si="11"/>
        <v>-93.387836793486656</v>
      </c>
      <c r="W119" s="20">
        <f t="shared" si="12"/>
        <v>0.94934958778831036</v>
      </c>
      <c r="X119" s="20">
        <f t="shared" si="13"/>
        <v>-3.1493169378663241E-2</v>
      </c>
      <c r="Y119" s="20">
        <f t="shared" si="14"/>
        <v>-24.68711754810105</v>
      </c>
      <c r="Z119" s="20">
        <f t="shared" si="15"/>
        <v>-146.80035368825898</v>
      </c>
    </row>
    <row r="120" spans="2:26" x14ac:dyDescent="0.25">
      <c r="B120" s="6">
        <v>398100000</v>
      </c>
      <c r="C120" s="20">
        <v>4.0259999999999998</v>
      </c>
      <c r="D120" s="20">
        <v>-9.27</v>
      </c>
      <c r="E120" s="20">
        <v>4.8490000000000002</v>
      </c>
      <c r="F120" s="20">
        <v>-24.56</v>
      </c>
      <c r="G120" s="20">
        <v>3.7930000000000001</v>
      </c>
      <c r="H120" s="20">
        <v>-9.2439999999999998</v>
      </c>
      <c r="I120" s="20">
        <v>5.1849999999999996</v>
      </c>
      <c r="J120" s="20">
        <v>-25.6</v>
      </c>
      <c r="K120" s="20">
        <v>-1.7420000000000001E-2</v>
      </c>
      <c r="L120" s="20">
        <v>-3.58</v>
      </c>
      <c r="M120" s="20">
        <v>-1.6969999999999999E-2</v>
      </c>
      <c r="N120" s="20">
        <v>-32.25</v>
      </c>
      <c r="O120" s="20">
        <v>-0.48270000000000002</v>
      </c>
      <c r="P120" s="20">
        <v>-1.8420000000000001</v>
      </c>
      <c r="Q120" s="20">
        <v>-1.6969999999999999E-2</v>
      </c>
      <c r="R120" s="20">
        <v>-32.25</v>
      </c>
      <c r="S120" s="20">
        <f t="shared" si="8"/>
        <v>0.99622436770529921</v>
      </c>
      <c r="T120" s="20">
        <f t="shared" si="9"/>
        <v>-6.0914240166021323E-2</v>
      </c>
      <c r="U120" s="20">
        <f t="shared" si="10"/>
        <v>-24.489623163504859</v>
      </c>
      <c r="V120" s="20">
        <f t="shared" si="11"/>
        <v>-93.466063553830097</v>
      </c>
      <c r="W120" s="20">
        <f t="shared" si="12"/>
        <v>0.94743114906694315</v>
      </c>
      <c r="X120" s="20">
        <f t="shared" si="13"/>
        <v>-3.0999130915416416E-2</v>
      </c>
      <c r="Y120" s="20">
        <f t="shared" si="14"/>
        <v>-24.48881464098924</v>
      </c>
      <c r="Z120" s="20">
        <f t="shared" si="15"/>
        <v>-148.1276765245496</v>
      </c>
    </row>
    <row r="121" spans="2:26" x14ac:dyDescent="0.25">
      <c r="B121" s="6">
        <v>407400000</v>
      </c>
      <c r="C121" s="20">
        <v>4.0060000000000002</v>
      </c>
      <c r="D121" s="20">
        <v>-9.4700000000000006</v>
      </c>
      <c r="E121" s="20">
        <v>4.8680000000000003</v>
      </c>
      <c r="F121" s="20">
        <v>-25.16</v>
      </c>
      <c r="G121" s="20">
        <v>3.7589999999999999</v>
      </c>
      <c r="H121" s="20">
        <v>-9.4339999999999993</v>
      </c>
      <c r="I121" s="20">
        <v>5.218</v>
      </c>
      <c r="J121" s="20">
        <v>-26.28</v>
      </c>
      <c r="K121" s="20">
        <v>-1.8239999999999999E-2</v>
      </c>
      <c r="L121" s="20">
        <v>-3.6629999999999998</v>
      </c>
      <c r="M121" s="20">
        <v>-1.7760000000000001E-2</v>
      </c>
      <c r="N121" s="20">
        <v>-33</v>
      </c>
      <c r="O121" s="20">
        <v>-0.50139999999999996</v>
      </c>
      <c r="P121" s="20">
        <v>-1.804</v>
      </c>
      <c r="Q121" s="20">
        <v>-1.7760000000000001E-2</v>
      </c>
      <c r="R121" s="20">
        <v>-33</v>
      </c>
      <c r="S121" s="20">
        <f t="shared" si="8"/>
        <v>0.99604895354980716</v>
      </c>
      <c r="T121" s="20">
        <f t="shared" si="9"/>
        <v>-6.2317033224830627E-2</v>
      </c>
      <c r="U121" s="20">
        <f t="shared" si="10"/>
        <v>-24.288970350434301</v>
      </c>
      <c r="V121" s="20">
        <f t="shared" si="11"/>
        <v>-93.54681266512172</v>
      </c>
      <c r="W121" s="20">
        <f t="shared" si="12"/>
        <v>0.94545426977678559</v>
      </c>
      <c r="X121" s="20">
        <f t="shared" si="13"/>
        <v>-3.0405852164507002E-2</v>
      </c>
      <c r="Y121" s="20">
        <f t="shared" si="14"/>
        <v>-24.289401597874296</v>
      </c>
      <c r="Z121" s="20">
        <f t="shared" si="15"/>
        <v>-149.47272981843483</v>
      </c>
    </row>
    <row r="122" spans="2:26" x14ac:dyDescent="0.25">
      <c r="B122" s="6">
        <v>416900000</v>
      </c>
      <c r="C122" s="20">
        <v>3.984</v>
      </c>
      <c r="D122" s="20">
        <v>-9.6720000000000006</v>
      </c>
      <c r="E122" s="20">
        <v>4.8869999999999996</v>
      </c>
      <c r="F122" s="20">
        <v>-25.78</v>
      </c>
      <c r="G122" s="20">
        <v>3.7229999999999999</v>
      </c>
      <c r="H122" s="20">
        <v>-9.6259999999999994</v>
      </c>
      <c r="I122" s="20">
        <v>5.2530000000000001</v>
      </c>
      <c r="J122" s="20">
        <v>-26.98</v>
      </c>
      <c r="K122" s="20">
        <v>-1.9089999999999999E-2</v>
      </c>
      <c r="L122" s="20">
        <v>-3.7480000000000002</v>
      </c>
      <c r="M122" s="20">
        <v>-1.8599999999999998E-2</v>
      </c>
      <c r="N122" s="20">
        <v>-33.76</v>
      </c>
      <c r="O122" s="20">
        <v>-0.52059999999999995</v>
      </c>
      <c r="P122" s="20">
        <v>-1.76</v>
      </c>
      <c r="Q122" s="20">
        <v>-1.8599999999999998E-2</v>
      </c>
      <c r="R122" s="20">
        <v>-33.76</v>
      </c>
      <c r="S122" s="20">
        <f t="shared" si="8"/>
        <v>0.99586361464028272</v>
      </c>
      <c r="T122" s="20">
        <f t="shared" si="9"/>
        <v>-6.3753848005862701E-2</v>
      </c>
      <c r="U122" s="20">
        <f t="shared" si="10"/>
        <v>-24.090441586078185</v>
      </c>
      <c r="V122" s="20">
        <f t="shared" si="11"/>
        <v>-93.627831234601175</v>
      </c>
      <c r="W122" s="20">
        <f t="shared" si="12"/>
        <v>0.94344088975565343</v>
      </c>
      <c r="X122" s="20">
        <f t="shared" si="13"/>
        <v>-2.9714754190238644E-2</v>
      </c>
      <c r="Y122" s="20">
        <f t="shared" si="14"/>
        <v>-24.089629513434517</v>
      </c>
      <c r="Z122" s="20">
        <f t="shared" si="15"/>
        <v>-150.86305190700585</v>
      </c>
    </row>
    <row r="123" spans="2:26" x14ac:dyDescent="0.25">
      <c r="B123" s="6">
        <v>426600000</v>
      </c>
      <c r="C123" s="20">
        <v>3.9620000000000002</v>
      </c>
      <c r="D123" s="20">
        <v>-9.8780000000000001</v>
      </c>
      <c r="E123" s="20">
        <v>4.9080000000000004</v>
      </c>
      <c r="F123" s="20">
        <v>-26.42</v>
      </c>
      <c r="G123" s="20">
        <v>3.6850000000000001</v>
      </c>
      <c r="H123" s="20">
        <v>-9.8179999999999996</v>
      </c>
      <c r="I123" s="20">
        <v>5.2880000000000003</v>
      </c>
      <c r="J123" s="20">
        <v>-27.7</v>
      </c>
      <c r="K123" s="20">
        <v>-1.9980000000000001E-2</v>
      </c>
      <c r="L123" s="20">
        <v>-3.835</v>
      </c>
      <c r="M123" s="20">
        <v>-1.9470000000000001E-2</v>
      </c>
      <c r="N123" s="20">
        <v>-34.549999999999997</v>
      </c>
      <c r="O123" s="20">
        <v>-0.5403</v>
      </c>
      <c r="P123" s="20">
        <v>-1.71</v>
      </c>
      <c r="Q123" s="20">
        <v>-1.9470000000000001E-2</v>
      </c>
      <c r="R123" s="20">
        <v>-34.549999999999997</v>
      </c>
      <c r="S123" s="20">
        <f t="shared" si="8"/>
        <v>0.99567049710949918</v>
      </c>
      <c r="T123" s="20">
        <f t="shared" si="9"/>
        <v>-6.5224787518942173E-2</v>
      </c>
      <c r="U123" s="20">
        <f t="shared" si="10"/>
        <v>-23.891628746132842</v>
      </c>
      <c r="V123" s="20">
        <f t="shared" si="11"/>
        <v>-93.712179303407765</v>
      </c>
      <c r="W123" s="20">
        <f t="shared" si="12"/>
        <v>0.94138022550788214</v>
      </c>
      <c r="X123" s="20">
        <f t="shared" si="13"/>
        <v>-2.8926223298087042E-2</v>
      </c>
      <c r="Y123" s="20">
        <f t="shared" si="14"/>
        <v>-23.891376849470202</v>
      </c>
      <c r="Z123" s="20">
        <f t="shared" si="15"/>
        <v>-152.28367710292088</v>
      </c>
    </row>
    <row r="124" spans="2:26" x14ac:dyDescent="0.25">
      <c r="B124" s="6">
        <v>436500000</v>
      </c>
      <c r="C124" s="20">
        <v>3.9380000000000002</v>
      </c>
      <c r="D124" s="20">
        <v>-10.09</v>
      </c>
      <c r="E124" s="20">
        <v>4.9290000000000003</v>
      </c>
      <c r="F124" s="20">
        <v>-27.08</v>
      </c>
      <c r="G124" s="20">
        <v>3.645</v>
      </c>
      <c r="H124" s="20">
        <v>-10.01</v>
      </c>
      <c r="I124" s="20">
        <v>5.3259999999999996</v>
      </c>
      <c r="J124" s="20">
        <v>-28.45</v>
      </c>
      <c r="K124" s="20">
        <v>-2.0920000000000001E-2</v>
      </c>
      <c r="L124" s="20">
        <v>-3.9239999999999999</v>
      </c>
      <c r="M124" s="20">
        <v>-2.0389999999999998E-2</v>
      </c>
      <c r="N124" s="20">
        <v>-35.36</v>
      </c>
      <c r="O124" s="20">
        <v>-0.56040000000000001</v>
      </c>
      <c r="P124" s="20">
        <v>-1.6519999999999999</v>
      </c>
      <c r="Q124" s="20">
        <v>-2.0389999999999998E-2</v>
      </c>
      <c r="R124" s="20">
        <v>-35.36</v>
      </c>
      <c r="S124" s="20">
        <f t="shared" si="8"/>
        <v>0.99546830369740658</v>
      </c>
      <c r="T124" s="20">
        <f t="shared" si="9"/>
        <v>-6.6729736304295989E-2</v>
      </c>
      <c r="U124" s="20">
        <f t="shared" si="10"/>
        <v>-23.692653283201096</v>
      </c>
      <c r="V124" s="20">
        <f t="shared" si="11"/>
        <v>-93.797618767182755</v>
      </c>
      <c r="W124" s="20">
        <f t="shared" si="12"/>
        <v>0.93927237903395899</v>
      </c>
      <c r="X124" s="20">
        <f t="shared" si="13"/>
        <v>-2.8041032628317048E-2</v>
      </c>
      <c r="Y124" s="20">
        <f t="shared" si="14"/>
        <v>-23.692666644732615</v>
      </c>
      <c r="Z124" s="20">
        <f t="shared" si="15"/>
        <v>-153.73573227844548</v>
      </c>
    </row>
    <row r="125" spans="2:26" x14ac:dyDescent="0.25">
      <c r="B125" s="6">
        <v>446700000</v>
      </c>
      <c r="C125" s="20">
        <v>3.9129999999999998</v>
      </c>
      <c r="D125" s="20">
        <v>-10.3</v>
      </c>
      <c r="E125" s="20">
        <v>4.952</v>
      </c>
      <c r="F125" s="20">
        <v>-27.75</v>
      </c>
      <c r="G125" s="20">
        <v>3.6030000000000002</v>
      </c>
      <c r="H125" s="20">
        <v>-10.199999999999999</v>
      </c>
      <c r="I125" s="20">
        <v>5.3639999999999999</v>
      </c>
      <c r="J125" s="20">
        <v>-29.23</v>
      </c>
      <c r="K125" s="20">
        <v>-2.189E-2</v>
      </c>
      <c r="L125" s="20">
        <v>-4.0149999999999997</v>
      </c>
      <c r="M125" s="20">
        <v>-2.1340000000000001E-2</v>
      </c>
      <c r="N125" s="20">
        <v>-36.18</v>
      </c>
      <c r="O125" s="20">
        <v>-0.58089999999999997</v>
      </c>
      <c r="P125" s="20">
        <v>-1.587</v>
      </c>
      <c r="Q125" s="20">
        <v>-2.1340000000000001E-2</v>
      </c>
      <c r="R125" s="20">
        <v>-36.18</v>
      </c>
      <c r="S125" s="20">
        <f t="shared" ref="S125:S156" si="16">10^(K124/20)*COS(PI()/180*L124)</f>
        <v>0.99525573470193995</v>
      </c>
      <c r="T125" s="20">
        <f t="shared" ref="T125:T156" si="17">10^(K124/20)*SIN(PI()/180*L124)</f>
        <v>-6.8268570405779605E-2</v>
      </c>
      <c r="U125" s="20">
        <f t="shared" ref="U125:U156" si="18">10*LOG((S124-1)^2+T124^2)</f>
        <v>-23.493628511665531</v>
      </c>
      <c r="V125" s="20">
        <f t="shared" ref="V125:V156" si="19">180/PI()*ATAN2((S124-1),T124)</f>
        <v>-93.88505978495489</v>
      </c>
      <c r="W125" s="20">
        <f t="shared" ref="W125:W156" si="20">10^(O124/20)*COS(PI()/180*P124)</f>
        <v>0.93712916359772425</v>
      </c>
      <c r="X125" s="20">
        <f t="shared" ref="X125:X156" si="21">10^(O124/20)*SIN(PI()/180*P124)</f>
        <v>-2.702758457657017E-2</v>
      </c>
      <c r="Y125" s="20">
        <f t="shared" ref="Y125:Y156" si="22">10*LOG((W124-1)^2+X124^2)</f>
        <v>-23.492900947860626</v>
      </c>
      <c r="Z125" s="20">
        <f t="shared" ref="Z125:Z156" si="23">180/PI()*ATAN2((W124-1),X124)</f>
        <v>-155.21482669024115</v>
      </c>
    </row>
    <row r="126" spans="2:26" x14ac:dyDescent="0.25">
      <c r="B126" s="6">
        <v>457100000</v>
      </c>
      <c r="C126" s="20">
        <v>3.887</v>
      </c>
      <c r="D126" s="20">
        <v>-10.51</v>
      </c>
      <c r="E126" s="20">
        <v>4.9749999999999996</v>
      </c>
      <c r="F126" s="20">
        <v>-28.45</v>
      </c>
      <c r="G126" s="20">
        <v>3.5579999999999998</v>
      </c>
      <c r="H126" s="20">
        <v>-10.4</v>
      </c>
      <c r="I126" s="20">
        <v>5.4050000000000002</v>
      </c>
      <c r="J126" s="20">
        <v>-30.03</v>
      </c>
      <c r="K126" s="20">
        <v>-2.2919999999999999E-2</v>
      </c>
      <c r="L126" s="20">
        <v>-4.1079999999999997</v>
      </c>
      <c r="M126" s="20">
        <v>-2.2349999999999998E-2</v>
      </c>
      <c r="N126" s="20">
        <v>-37.020000000000003</v>
      </c>
      <c r="O126" s="20">
        <v>-0.6018</v>
      </c>
      <c r="P126" s="20">
        <v>-1.5129999999999999</v>
      </c>
      <c r="Q126" s="20">
        <v>-2.2349999999999998E-2</v>
      </c>
      <c r="R126" s="20">
        <v>-37.020000000000003</v>
      </c>
      <c r="S126" s="20">
        <f t="shared" si="16"/>
        <v>0.99503492482686295</v>
      </c>
      <c r="T126" s="20">
        <f t="shared" si="17"/>
        <v>-6.9841398177999919E-2</v>
      </c>
      <c r="U126" s="20">
        <f t="shared" si="18"/>
        <v>-23.294660344450989</v>
      </c>
      <c r="V126" s="20">
        <f t="shared" si="19"/>
        <v>-93.975329367779963</v>
      </c>
      <c r="W126" s="20">
        <f t="shared" si="20"/>
        <v>0.93494999437001058</v>
      </c>
      <c r="X126" s="20">
        <f t="shared" si="21"/>
        <v>-2.5903220420207398E-2</v>
      </c>
      <c r="Y126" s="20">
        <f t="shared" si="22"/>
        <v>-23.294542905096769</v>
      </c>
      <c r="Z126" s="20">
        <f t="shared" si="23"/>
        <v>-156.73758312920023</v>
      </c>
    </row>
    <row r="127" spans="2:26" x14ac:dyDescent="0.25">
      <c r="B127" s="6">
        <v>467700000</v>
      </c>
      <c r="C127" s="20">
        <v>3.86</v>
      </c>
      <c r="D127" s="20">
        <v>-10.73</v>
      </c>
      <c r="E127" s="20">
        <v>4.9989999999999997</v>
      </c>
      <c r="F127" s="20">
        <v>-29.16</v>
      </c>
      <c r="G127" s="20">
        <v>3.5110000000000001</v>
      </c>
      <c r="H127" s="20">
        <v>-10.59</v>
      </c>
      <c r="I127" s="20">
        <v>5.4459999999999997</v>
      </c>
      <c r="J127" s="20">
        <v>-30.86</v>
      </c>
      <c r="K127" s="20">
        <v>-2.3980000000000001E-2</v>
      </c>
      <c r="L127" s="20">
        <v>-4.2030000000000003</v>
      </c>
      <c r="M127" s="20">
        <v>-2.3400000000000001E-2</v>
      </c>
      <c r="N127" s="20">
        <v>-37.880000000000003</v>
      </c>
      <c r="O127" s="20">
        <v>-0.62309999999999999</v>
      </c>
      <c r="P127" s="20">
        <v>-1.431</v>
      </c>
      <c r="Q127" s="20">
        <v>-2.3400000000000001E-2</v>
      </c>
      <c r="R127" s="20">
        <v>-37.880000000000003</v>
      </c>
      <c r="S127" s="20">
        <f t="shared" si="16"/>
        <v>0.99480227683600053</v>
      </c>
      <c r="T127" s="20">
        <f t="shared" si="17"/>
        <v>-7.144792955561946E-2</v>
      </c>
      <c r="U127" s="20">
        <f t="shared" si="18"/>
        <v>-23.095848009313194</v>
      </c>
      <c r="V127" s="20">
        <f t="shared" si="19"/>
        <v>-94.066357029456285</v>
      </c>
      <c r="W127" s="20">
        <f t="shared" si="20"/>
        <v>0.93273561759713774</v>
      </c>
      <c r="X127" s="20">
        <f t="shared" si="21"/>
        <v>-2.4636319103485713E-2</v>
      </c>
      <c r="Y127" s="20">
        <f t="shared" si="22"/>
        <v>-23.09584164022079</v>
      </c>
      <c r="Z127" s="20">
        <f t="shared" si="23"/>
        <v>-158.28731861257762</v>
      </c>
    </row>
    <row r="128" spans="2:26" x14ac:dyDescent="0.25">
      <c r="B128" s="6">
        <v>478600000</v>
      </c>
      <c r="C128" s="20">
        <v>3.831</v>
      </c>
      <c r="D128" s="20">
        <v>-10.95</v>
      </c>
      <c r="E128" s="20">
        <v>5.0250000000000004</v>
      </c>
      <c r="F128" s="20">
        <v>-29.89</v>
      </c>
      <c r="G128" s="20">
        <v>3.4609999999999999</v>
      </c>
      <c r="H128" s="20">
        <v>-10.78</v>
      </c>
      <c r="I128" s="20">
        <v>5.4889999999999999</v>
      </c>
      <c r="J128" s="20">
        <v>-31.72</v>
      </c>
      <c r="K128" s="20">
        <v>-2.5100000000000001E-2</v>
      </c>
      <c r="L128" s="20">
        <v>-4.3010000000000002</v>
      </c>
      <c r="M128" s="20">
        <v>-2.4490000000000001E-2</v>
      </c>
      <c r="N128" s="20">
        <v>-38.76</v>
      </c>
      <c r="O128" s="20">
        <v>-0.64459999999999995</v>
      </c>
      <c r="P128" s="20">
        <v>-1.34</v>
      </c>
      <c r="Q128" s="20">
        <v>-2.4490000000000001E-2</v>
      </c>
      <c r="R128" s="20">
        <v>-38.76</v>
      </c>
      <c r="S128" s="20">
        <f t="shared" si="16"/>
        <v>0.99456106363111663</v>
      </c>
      <c r="T128" s="20">
        <f t="shared" si="17"/>
        <v>-7.3088355197964944E-2</v>
      </c>
      <c r="U128" s="20">
        <f t="shared" si="18"/>
        <v>-22.897283342025357</v>
      </c>
      <c r="V128" s="20">
        <f t="shared" si="19"/>
        <v>-94.160846909476405</v>
      </c>
      <c r="W128" s="20">
        <f t="shared" si="20"/>
        <v>0.93048533549196477</v>
      </c>
      <c r="X128" s="20">
        <f t="shared" si="21"/>
        <v>-2.3244320202795946E-2</v>
      </c>
      <c r="Y128" s="20">
        <f t="shared" si="22"/>
        <v>-22.897602912175969</v>
      </c>
      <c r="Z128" s="20">
        <f t="shared" si="23"/>
        <v>-159.88418833535911</v>
      </c>
    </row>
    <row r="129" spans="2:26" x14ac:dyDescent="0.25">
      <c r="B129" s="6">
        <v>489800000</v>
      </c>
      <c r="C129" s="20">
        <v>3.8010000000000002</v>
      </c>
      <c r="D129" s="20">
        <v>-11.17</v>
      </c>
      <c r="E129" s="20">
        <v>5.0510000000000002</v>
      </c>
      <c r="F129" s="20">
        <v>-30.64</v>
      </c>
      <c r="G129" s="20">
        <v>3.407</v>
      </c>
      <c r="H129" s="20">
        <v>-10.97</v>
      </c>
      <c r="I129" s="20">
        <v>5.5339999999999998</v>
      </c>
      <c r="J129" s="20">
        <v>-32.61</v>
      </c>
      <c r="K129" s="20">
        <v>-2.6270000000000002E-2</v>
      </c>
      <c r="L129" s="20">
        <v>-4.4000000000000004</v>
      </c>
      <c r="M129" s="20">
        <v>-2.564E-2</v>
      </c>
      <c r="N129" s="20">
        <v>-39.67</v>
      </c>
      <c r="O129" s="20">
        <v>-0.66639999999999999</v>
      </c>
      <c r="P129" s="20">
        <v>-1.238</v>
      </c>
      <c r="Q129" s="20">
        <v>-2.564E-2</v>
      </c>
      <c r="R129" s="20">
        <v>-39.67</v>
      </c>
      <c r="S129" s="20">
        <f t="shared" si="16"/>
        <v>0.99430637802722588</v>
      </c>
      <c r="T129" s="20">
        <f t="shared" si="17"/>
        <v>-7.4779724168110018E-2</v>
      </c>
      <c r="U129" s="20">
        <f t="shared" si="18"/>
        <v>-22.699052531602145</v>
      </c>
      <c r="V129" s="20">
        <f t="shared" si="19"/>
        <v>-94.255873110695532</v>
      </c>
      <c r="W129" s="20">
        <f t="shared" si="20"/>
        <v>0.92822062870688304</v>
      </c>
      <c r="X129" s="20">
        <f t="shared" si="21"/>
        <v>-2.1712637121118105E-2</v>
      </c>
      <c r="Y129" s="20">
        <f t="shared" si="22"/>
        <v>-22.6981654284053</v>
      </c>
      <c r="Z129" s="20">
        <f t="shared" si="23"/>
        <v>-161.51109055527027</v>
      </c>
    </row>
    <row r="130" spans="2:26" x14ac:dyDescent="0.25">
      <c r="B130" s="6">
        <v>501200000</v>
      </c>
      <c r="C130" s="20">
        <v>3.7690000000000001</v>
      </c>
      <c r="D130" s="20">
        <v>-11.4</v>
      </c>
      <c r="E130" s="20">
        <v>5.0789999999999997</v>
      </c>
      <c r="F130" s="20">
        <v>-31.42</v>
      </c>
      <c r="G130" s="20">
        <v>3.351</v>
      </c>
      <c r="H130" s="20">
        <v>-11.15</v>
      </c>
      <c r="I130" s="20">
        <v>5.58</v>
      </c>
      <c r="J130" s="20">
        <v>-33.53</v>
      </c>
      <c r="K130" s="20">
        <v>-2.75E-2</v>
      </c>
      <c r="L130" s="20">
        <v>-4.5019999999999998</v>
      </c>
      <c r="M130" s="20">
        <v>-2.6849999999999999E-2</v>
      </c>
      <c r="N130" s="20">
        <v>-40.590000000000003</v>
      </c>
      <c r="O130" s="20">
        <v>-0.68840000000000001</v>
      </c>
      <c r="P130" s="20">
        <v>-1.1259999999999999</v>
      </c>
      <c r="Q130" s="20">
        <v>-2.6849999999999999E-2</v>
      </c>
      <c r="R130" s="20">
        <v>-40.590000000000003</v>
      </c>
      <c r="S130" s="20">
        <f t="shared" si="16"/>
        <v>0.99404177605946897</v>
      </c>
      <c r="T130" s="20">
        <f t="shared" si="17"/>
        <v>-7.6487346137311132E-2</v>
      </c>
      <c r="U130" s="20">
        <f t="shared" si="18"/>
        <v>-22.499219103528198</v>
      </c>
      <c r="V130" s="20">
        <f t="shared" si="19"/>
        <v>-94.354018693580315</v>
      </c>
      <c r="W130" s="20">
        <f t="shared" si="20"/>
        <v>0.92593097468132757</v>
      </c>
      <c r="X130" s="20">
        <f t="shared" si="21"/>
        <v>-2.0009867762786605E-2</v>
      </c>
      <c r="Y130" s="20">
        <f t="shared" si="22"/>
        <v>-22.499765612594985</v>
      </c>
      <c r="Z130" s="20">
        <f t="shared" si="23"/>
        <v>-163.16988939601359</v>
      </c>
    </row>
    <row r="131" spans="2:26" x14ac:dyDescent="0.25">
      <c r="B131" s="6">
        <v>512900000</v>
      </c>
      <c r="C131" s="20">
        <v>3.7349999999999999</v>
      </c>
      <c r="D131" s="20">
        <v>-11.62</v>
      </c>
      <c r="E131" s="20">
        <v>5.1070000000000002</v>
      </c>
      <c r="F131" s="20">
        <v>-32.22</v>
      </c>
      <c r="G131" s="20">
        <v>3.2909999999999999</v>
      </c>
      <c r="H131" s="20">
        <v>-11.33</v>
      </c>
      <c r="I131" s="20">
        <v>5.6280000000000001</v>
      </c>
      <c r="J131" s="20">
        <v>-34.479999999999997</v>
      </c>
      <c r="K131" s="20">
        <v>-2.878E-2</v>
      </c>
      <c r="L131" s="20">
        <v>-4.6070000000000002</v>
      </c>
      <c r="M131" s="20">
        <v>-2.811E-2</v>
      </c>
      <c r="N131" s="20">
        <v>-41.54</v>
      </c>
      <c r="O131" s="20">
        <v>-0.71040000000000003</v>
      </c>
      <c r="P131" s="20">
        <v>-1.0029999999999999</v>
      </c>
      <c r="Q131" s="20">
        <v>-2.811E-2</v>
      </c>
      <c r="R131" s="20">
        <v>-41.54</v>
      </c>
      <c r="S131" s="20">
        <f t="shared" si="16"/>
        <v>0.99376329966392152</v>
      </c>
      <c r="T131" s="20">
        <f t="shared" si="17"/>
        <v>-7.8245771703754866E-2</v>
      </c>
      <c r="U131" s="20">
        <f t="shared" si="18"/>
        <v>-22.301934256312389</v>
      </c>
      <c r="V131" s="20">
        <f t="shared" si="19"/>
        <v>-94.454241013054897</v>
      </c>
      <c r="W131" s="20">
        <f t="shared" si="20"/>
        <v>0.92362595501306088</v>
      </c>
      <c r="X131" s="20">
        <f t="shared" si="21"/>
        <v>-1.8153810696621763E-2</v>
      </c>
      <c r="Y131" s="20">
        <f t="shared" si="22"/>
        <v>-22.301343436780012</v>
      </c>
      <c r="Z131" s="20">
        <f t="shared" si="23"/>
        <v>-164.88232784711508</v>
      </c>
    </row>
    <row r="132" spans="2:26" x14ac:dyDescent="0.25">
      <c r="B132" s="6">
        <v>524800000</v>
      </c>
      <c r="C132" s="20">
        <v>3.7</v>
      </c>
      <c r="D132" s="20">
        <v>-11.85</v>
      </c>
      <c r="E132" s="20">
        <v>5.1369999999999996</v>
      </c>
      <c r="F132" s="20">
        <v>-33.04</v>
      </c>
      <c r="G132" s="20">
        <v>3.2280000000000002</v>
      </c>
      <c r="H132" s="20">
        <v>-11.5</v>
      </c>
      <c r="I132" s="20">
        <v>5.6769999999999996</v>
      </c>
      <c r="J132" s="20">
        <v>-35.47</v>
      </c>
      <c r="K132" s="20">
        <v>-3.0120000000000001E-2</v>
      </c>
      <c r="L132" s="20">
        <v>-4.7130000000000001</v>
      </c>
      <c r="M132" s="20">
        <v>-2.9420000000000002E-2</v>
      </c>
      <c r="N132" s="20">
        <v>-42.5</v>
      </c>
      <c r="O132" s="20">
        <v>-0.73250000000000004</v>
      </c>
      <c r="P132" s="20">
        <v>-0.86860000000000004</v>
      </c>
      <c r="Q132" s="20">
        <v>-2.9420000000000002E-2</v>
      </c>
      <c r="R132" s="20">
        <v>-42.5</v>
      </c>
      <c r="S132" s="20">
        <f t="shared" si="16"/>
        <v>0.99347182394159583</v>
      </c>
      <c r="T132" s="20">
        <f t="shared" si="17"/>
        <v>-8.0055007446955276E-2</v>
      </c>
      <c r="U132" s="20">
        <f t="shared" si="18"/>
        <v>-22.103278403622134</v>
      </c>
      <c r="V132" s="20">
        <f t="shared" si="19"/>
        <v>-94.557214216023837</v>
      </c>
      <c r="W132" s="20">
        <f t="shared" si="20"/>
        <v>0.92132626535187823</v>
      </c>
      <c r="X132" s="20">
        <f t="shared" si="21"/>
        <v>-1.6130065054273151E-2</v>
      </c>
      <c r="Y132" s="20">
        <f t="shared" si="22"/>
        <v>-22.102391500631136</v>
      </c>
      <c r="Z132" s="20">
        <f t="shared" si="23"/>
        <v>-166.62914762236173</v>
      </c>
    </row>
    <row r="133" spans="2:26" x14ac:dyDescent="0.25">
      <c r="B133" s="6">
        <v>537000000</v>
      </c>
      <c r="C133" s="20">
        <v>3.6629999999999998</v>
      </c>
      <c r="D133" s="20">
        <v>-12.08</v>
      </c>
      <c r="E133" s="20">
        <v>5.1680000000000001</v>
      </c>
      <c r="F133" s="20">
        <v>-33.89</v>
      </c>
      <c r="G133" s="20">
        <v>3.161</v>
      </c>
      <c r="H133" s="20">
        <v>-11.67</v>
      </c>
      <c r="I133" s="20">
        <v>5.7279999999999998</v>
      </c>
      <c r="J133" s="20">
        <v>-36.49</v>
      </c>
      <c r="K133" s="20">
        <v>-3.1519999999999999E-2</v>
      </c>
      <c r="L133" s="20">
        <v>-4.8230000000000004</v>
      </c>
      <c r="M133" s="20">
        <v>-3.0800000000000001E-2</v>
      </c>
      <c r="N133" s="20">
        <v>-43.49</v>
      </c>
      <c r="O133" s="20">
        <v>-0.75449999999999995</v>
      </c>
      <c r="P133" s="20">
        <v>-0.72150000000000003</v>
      </c>
      <c r="Q133" s="20">
        <v>-3.0800000000000001E-2</v>
      </c>
      <c r="R133" s="20">
        <v>-43.49</v>
      </c>
      <c r="S133" s="20">
        <f t="shared" si="16"/>
        <v>0.99316878702323186</v>
      </c>
      <c r="T133" s="20">
        <f t="shared" si="17"/>
        <v>-8.1880208062369772E-2</v>
      </c>
      <c r="U133" s="20">
        <f t="shared" si="18"/>
        <v>-21.903445962577301</v>
      </c>
      <c r="V133" s="20">
        <f t="shared" si="19"/>
        <v>-94.6619337575234</v>
      </c>
      <c r="W133" s="20">
        <f t="shared" si="20"/>
        <v>0.91902027470233105</v>
      </c>
      <c r="X133" s="20">
        <f t="shared" si="21"/>
        <v>-1.3933350345395012E-2</v>
      </c>
      <c r="Y133" s="20">
        <f t="shared" si="22"/>
        <v>-21.904580936796087</v>
      </c>
      <c r="Z133" s="20">
        <f t="shared" si="23"/>
        <v>-168.41351131118063</v>
      </c>
    </row>
    <row r="134" spans="2:26" x14ac:dyDescent="0.25">
      <c r="B134" s="6">
        <v>549500000</v>
      </c>
      <c r="C134" s="20">
        <v>3.6230000000000002</v>
      </c>
      <c r="D134" s="20">
        <v>-12.31</v>
      </c>
      <c r="E134" s="20">
        <v>5.2</v>
      </c>
      <c r="F134" s="20">
        <v>-34.76</v>
      </c>
      <c r="G134" s="20">
        <v>3.09</v>
      </c>
      <c r="H134" s="20">
        <v>-11.82</v>
      </c>
      <c r="I134" s="20">
        <v>5.78</v>
      </c>
      <c r="J134" s="20">
        <v>-37.549999999999997</v>
      </c>
      <c r="K134" s="20">
        <v>-3.2980000000000002E-2</v>
      </c>
      <c r="L134" s="20">
        <v>-4.9340000000000002</v>
      </c>
      <c r="M134" s="20">
        <v>-3.2250000000000001E-2</v>
      </c>
      <c r="N134" s="20">
        <v>-44.51</v>
      </c>
      <c r="O134" s="20">
        <v>-0.77629999999999999</v>
      </c>
      <c r="P134" s="20">
        <v>-0.56140000000000001</v>
      </c>
      <c r="Q134" s="20">
        <v>-3.2250000000000001E-2</v>
      </c>
      <c r="R134" s="20">
        <v>-44.51</v>
      </c>
      <c r="S134" s="20">
        <f t="shared" si="16"/>
        <v>0.99284971669546684</v>
      </c>
      <c r="T134" s="20">
        <f t="shared" si="17"/>
        <v>-8.3773299432144441E-2</v>
      </c>
      <c r="U134" s="20">
        <f t="shared" si="18"/>
        <v>-21.70629708445583</v>
      </c>
      <c r="V134" s="20">
        <f t="shared" si="19"/>
        <v>-94.769105362659204</v>
      </c>
      <c r="W134" s="20">
        <f t="shared" si="20"/>
        <v>0.91672814598307528</v>
      </c>
      <c r="X134" s="20">
        <f t="shared" si="21"/>
        <v>-1.1544555743927196E-2</v>
      </c>
      <c r="Y134" s="20">
        <f t="shared" si="22"/>
        <v>-21.705769469657874</v>
      </c>
      <c r="Z134" s="20">
        <f t="shared" si="23"/>
        <v>-170.23729436008151</v>
      </c>
    </row>
    <row r="135" spans="2:26" x14ac:dyDescent="0.25">
      <c r="B135" s="6">
        <v>562300000</v>
      </c>
      <c r="C135" s="20">
        <v>3.5819999999999999</v>
      </c>
      <c r="D135" s="20">
        <v>-12.54</v>
      </c>
      <c r="E135" s="20">
        <v>5.234</v>
      </c>
      <c r="F135" s="20">
        <v>-35.65</v>
      </c>
      <c r="G135" s="20">
        <v>3.0150000000000001</v>
      </c>
      <c r="H135" s="20">
        <v>-11.96</v>
      </c>
      <c r="I135" s="20">
        <v>5.8339999999999996</v>
      </c>
      <c r="J135" s="20">
        <v>-38.65</v>
      </c>
      <c r="K135" s="20">
        <v>-3.4520000000000002E-2</v>
      </c>
      <c r="L135" s="20">
        <v>-5.048</v>
      </c>
      <c r="M135" s="20">
        <v>-3.3759999999999998E-2</v>
      </c>
      <c r="N135" s="20">
        <v>-45.54</v>
      </c>
      <c r="O135" s="20">
        <v>-0.79779999999999995</v>
      </c>
      <c r="P135" s="20">
        <v>-0.38769999999999999</v>
      </c>
      <c r="Q135" s="20">
        <v>-3.3759999999999998E-2</v>
      </c>
      <c r="R135" s="20">
        <v>-45.54</v>
      </c>
      <c r="S135" s="20">
        <f t="shared" si="16"/>
        <v>0.99251871309729101</v>
      </c>
      <c r="T135" s="20">
        <f t="shared" si="17"/>
        <v>-8.5682200714421355E-2</v>
      </c>
      <c r="U135" s="20">
        <f t="shared" si="18"/>
        <v>-21.506363509166864</v>
      </c>
      <c r="V135" s="20">
        <f t="shared" si="19"/>
        <v>-94.8785296662127</v>
      </c>
      <c r="W135" s="20">
        <f t="shared" si="20"/>
        <v>0.91445881812855045</v>
      </c>
      <c r="X135" s="20">
        <f t="shared" si="21"/>
        <v>-8.9604088579005106E-3</v>
      </c>
      <c r="Y135" s="20">
        <f t="shared" si="22"/>
        <v>-21.507355077694985</v>
      </c>
      <c r="Z135" s="20">
        <f t="shared" si="23"/>
        <v>-172.10699971364843</v>
      </c>
    </row>
    <row r="136" spans="2:26" x14ac:dyDescent="0.25">
      <c r="B136" s="6">
        <v>575400000</v>
      </c>
      <c r="C136" s="20">
        <v>3.5390000000000001</v>
      </c>
      <c r="D136" s="20">
        <v>-12.76</v>
      </c>
      <c r="E136" s="20">
        <v>5.2690000000000001</v>
      </c>
      <c r="F136" s="20">
        <v>-36.58</v>
      </c>
      <c r="G136" s="20">
        <v>2.9350000000000001</v>
      </c>
      <c r="H136" s="20">
        <v>-12.09</v>
      </c>
      <c r="I136" s="20">
        <v>5.8890000000000002</v>
      </c>
      <c r="J136" s="20">
        <v>-39.799999999999997</v>
      </c>
      <c r="K136" s="20">
        <v>-3.6119999999999999E-2</v>
      </c>
      <c r="L136" s="20">
        <v>-5.165</v>
      </c>
      <c r="M136" s="20">
        <v>-3.5340000000000003E-2</v>
      </c>
      <c r="N136" s="20">
        <v>-46.6</v>
      </c>
      <c r="O136" s="20">
        <v>-0.81879999999999997</v>
      </c>
      <c r="P136" s="20">
        <v>-0.19969999999999999</v>
      </c>
      <c r="Q136" s="20">
        <v>-3.5340000000000003E-2</v>
      </c>
      <c r="R136" s="20">
        <v>-46.6</v>
      </c>
      <c r="S136" s="20">
        <f t="shared" si="16"/>
        <v>0.99217034239583091</v>
      </c>
      <c r="T136" s="20">
        <f t="shared" si="17"/>
        <v>-8.7641279733567445E-2</v>
      </c>
      <c r="U136" s="20">
        <f t="shared" si="18"/>
        <v>-21.309203584975354</v>
      </c>
      <c r="V136" s="20">
        <f t="shared" si="19"/>
        <v>-94.990089109907942</v>
      </c>
      <c r="W136" s="20">
        <f t="shared" si="20"/>
        <v>0.91222098216548853</v>
      </c>
      <c r="X136" s="20">
        <f t="shared" si="21"/>
        <v>-6.1727665762060496E-3</v>
      </c>
      <c r="Y136" s="20">
        <f t="shared" si="22"/>
        <v>-21.309101696775706</v>
      </c>
      <c r="Z136" s="20">
        <f t="shared" si="23"/>
        <v>-174.02009500228235</v>
      </c>
    </row>
    <row r="137" spans="2:26" x14ac:dyDescent="0.25">
      <c r="B137" s="6">
        <v>588800000</v>
      </c>
      <c r="C137" s="20">
        <v>3.4929999999999999</v>
      </c>
      <c r="D137" s="20">
        <v>-12.99</v>
      </c>
      <c r="E137" s="20">
        <v>5.3049999999999997</v>
      </c>
      <c r="F137" s="20">
        <v>-37.53</v>
      </c>
      <c r="G137" s="20">
        <v>2.851</v>
      </c>
      <c r="H137" s="20">
        <v>-12.2</v>
      </c>
      <c r="I137" s="20">
        <v>5.9459999999999997</v>
      </c>
      <c r="J137" s="20">
        <v>-40.98</v>
      </c>
      <c r="K137" s="20">
        <v>-3.78E-2</v>
      </c>
      <c r="L137" s="20">
        <v>-5.2850000000000001</v>
      </c>
      <c r="M137" s="20">
        <v>-3.6999999999999998E-2</v>
      </c>
      <c r="N137" s="20">
        <v>-47.69</v>
      </c>
      <c r="O137" s="20">
        <v>-0.83930000000000005</v>
      </c>
      <c r="P137" s="20">
        <v>3.107E-3</v>
      </c>
      <c r="Q137" s="20">
        <v>-3.6999999999999998E-2</v>
      </c>
      <c r="R137" s="20">
        <v>-47.69</v>
      </c>
      <c r="S137" s="20">
        <f t="shared" si="16"/>
        <v>0.99180659295692586</v>
      </c>
      <c r="T137" s="20">
        <f t="shared" si="17"/>
        <v>-8.9650626608911363E-2</v>
      </c>
      <c r="U137" s="20">
        <f t="shared" si="18"/>
        <v>-21.111301475250531</v>
      </c>
      <c r="V137" s="20">
        <f t="shared" si="19"/>
        <v>-95.105111972816303</v>
      </c>
      <c r="W137" s="20">
        <f t="shared" si="20"/>
        <v>0.91003346283194309</v>
      </c>
      <c r="X137" s="20">
        <f t="shared" si="21"/>
        <v>-3.1718639660043972E-3</v>
      </c>
      <c r="Y137" s="20">
        <f t="shared" si="22"/>
        <v>-21.110762129402694</v>
      </c>
      <c r="Z137" s="20">
        <f t="shared" si="23"/>
        <v>-175.97748736225151</v>
      </c>
    </row>
    <row r="138" spans="2:26" x14ac:dyDescent="0.25">
      <c r="B138" s="6">
        <v>602600000</v>
      </c>
      <c r="C138" s="20">
        <v>3.4449999999999998</v>
      </c>
      <c r="D138" s="20">
        <v>-13.22</v>
      </c>
      <c r="E138" s="20">
        <v>5.343</v>
      </c>
      <c r="F138" s="20">
        <v>-38.51</v>
      </c>
      <c r="G138" s="20">
        <v>2.762</v>
      </c>
      <c r="H138" s="20">
        <v>-12.3</v>
      </c>
      <c r="I138" s="20">
        <v>6.0030000000000001</v>
      </c>
      <c r="J138" s="20">
        <v>-42.22</v>
      </c>
      <c r="K138" s="20">
        <v>-3.9550000000000002E-2</v>
      </c>
      <c r="L138" s="20">
        <v>-5.407</v>
      </c>
      <c r="M138" s="20">
        <v>-3.8730000000000001E-2</v>
      </c>
      <c r="N138" s="20">
        <v>-48.8</v>
      </c>
      <c r="O138" s="20">
        <v>-0.8589</v>
      </c>
      <c r="P138" s="20">
        <v>0.2213</v>
      </c>
      <c r="Q138" s="20">
        <v>-3.8730000000000001E-2</v>
      </c>
      <c r="R138" s="20">
        <v>-48.8</v>
      </c>
      <c r="S138" s="20">
        <f t="shared" si="16"/>
        <v>0.99142487686857839</v>
      </c>
      <c r="T138" s="20">
        <f t="shared" si="17"/>
        <v>-9.170992334798525E-2</v>
      </c>
      <c r="U138" s="20">
        <f t="shared" si="18"/>
        <v>-20.912809128190343</v>
      </c>
      <c r="V138" s="20">
        <f t="shared" si="19"/>
        <v>-95.221905683201996</v>
      </c>
      <c r="W138" s="20">
        <f t="shared" si="20"/>
        <v>0.90789369348214932</v>
      </c>
      <c r="X138" s="20">
        <f t="shared" si="21"/>
        <v>4.9232696236726149E-5</v>
      </c>
      <c r="Y138" s="20">
        <f t="shared" si="22"/>
        <v>-20.912985027694422</v>
      </c>
      <c r="Z138" s="20">
        <f t="shared" si="23"/>
        <v>-177.98081395218244</v>
      </c>
    </row>
    <row r="139" spans="2:26" x14ac:dyDescent="0.25">
      <c r="B139" s="6">
        <v>616600000</v>
      </c>
      <c r="C139" s="20">
        <v>3.3940000000000001</v>
      </c>
      <c r="D139" s="20">
        <v>-13.44</v>
      </c>
      <c r="E139" s="20">
        <v>5.3819999999999997</v>
      </c>
      <c r="F139" s="20">
        <v>-39.53</v>
      </c>
      <c r="G139" s="20">
        <v>2.6669999999999998</v>
      </c>
      <c r="H139" s="20">
        <v>-12.36</v>
      </c>
      <c r="I139" s="20">
        <v>6.0620000000000003</v>
      </c>
      <c r="J139" s="20">
        <v>-43.5</v>
      </c>
      <c r="K139" s="20">
        <v>-4.1390000000000003E-2</v>
      </c>
      <c r="L139" s="20">
        <v>-5.532</v>
      </c>
      <c r="M139" s="20">
        <v>-4.054E-2</v>
      </c>
      <c r="N139" s="20">
        <v>-49.93</v>
      </c>
      <c r="O139" s="20">
        <v>-0.87760000000000005</v>
      </c>
      <c r="P139" s="20">
        <v>0.45550000000000002</v>
      </c>
      <c r="Q139" s="20">
        <v>-4.054E-2</v>
      </c>
      <c r="R139" s="20">
        <v>-49.93</v>
      </c>
      <c r="S139" s="20">
        <f t="shared" si="16"/>
        <v>0.99102766280025234</v>
      </c>
      <c r="T139" s="20">
        <f t="shared" si="17"/>
        <v>-9.3801855768132006E-2</v>
      </c>
      <c r="U139" s="20">
        <f t="shared" si="18"/>
        <v>-20.713869126100832</v>
      </c>
      <c r="V139" s="20">
        <f t="shared" si="19"/>
        <v>-95.341777487564329</v>
      </c>
      <c r="W139" s="20">
        <f t="shared" si="20"/>
        <v>0.90584055529787622</v>
      </c>
      <c r="X139" s="20">
        <f t="shared" si="21"/>
        <v>3.498748310018862E-3</v>
      </c>
      <c r="Y139" s="20">
        <f t="shared" si="22"/>
        <v>-20.714211412097111</v>
      </c>
      <c r="Z139" s="20">
        <f t="shared" si="23"/>
        <v>179.96937424215116</v>
      </c>
    </row>
    <row r="140" spans="2:26" x14ac:dyDescent="0.25">
      <c r="B140" s="6">
        <v>631000000</v>
      </c>
      <c r="C140" s="20">
        <v>3.34</v>
      </c>
      <c r="D140" s="20">
        <v>-13.66</v>
      </c>
      <c r="E140" s="20">
        <v>5.4219999999999997</v>
      </c>
      <c r="F140" s="20">
        <v>-40.57</v>
      </c>
      <c r="G140" s="20">
        <v>2.5680000000000001</v>
      </c>
      <c r="H140" s="20">
        <v>-12.4</v>
      </c>
      <c r="I140" s="20">
        <v>6.1219999999999999</v>
      </c>
      <c r="J140" s="20">
        <v>-44.83</v>
      </c>
      <c r="K140" s="20">
        <v>-4.3299999999999998E-2</v>
      </c>
      <c r="L140" s="20">
        <v>-5.6589999999999998</v>
      </c>
      <c r="M140" s="20">
        <v>-4.2439999999999999E-2</v>
      </c>
      <c r="N140" s="20">
        <v>-51.09</v>
      </c>
      <c r="O140" s="20">
        <v>-0.89510000000000001</v>
      </c>
      <c r="P140" s="20">
        <v>0.70599999999999996</v>
      </c>
      <c r="Q140" s="20">
        <v>-4.2439999999999999E-2</v>
      </c>
      <c r="R140" s="20">
        <v>-51.09</v>
      </c>
      <c r="S140" s="20">
        <f t="shared" si="16"/>
        <v>0.99061078952193327</v>
      </c>
      <c r="T140" s="20">
        <f t="shared" si="17"/>
        <v>-9.5943391190450519E-2</v>
      </c>
      <c r="U140" s="20">
        <f t="shared" si="18"/>
        <v>-20.516217116544972</v>
      </c>
      <c r="V140" s="20">
        <f t="shared" si="19"/>
        <v>-95.463834205226703</v>
      </c>
      <c r="W140" s="20">
        <f t="shared" si="20"/>
        <v>0.90387063178546967</v>
      </c>
      <c r="X140" s="20">
        <f t="shared" si="21"/>
        <v>7.1859000821099779E-3</v>
      </c>
      <c r="Y140" s="20">
        <f t="shared" si="22"/>
        <v>-20.516730082740398</v>
      </c>
      <c r="Z140" s="20">
        <f t="shared" si="23"/>
        <v>177.87199967989125</v>
      </c>
    </row>
    <row r="141" spans="2:26" x14ac:dyDescent="0.25">
      <c r="B141" s="6">
        <v>645700000</v>
      </c>
      <c r="C141" s="20">
        <v>3.2839999999999998</v>
      </c>
      <c r="D141" s="20">
        <v>-13.87</v>
      </c>
      <c r="E141" s="20">
        <v>5.4640000000000004</v>
      </c>
      <c r="F141" s="20">
        <v>-41.65</v>
      </c>
      <c r="G141" s="20">
        <v>2.4630000000000001</v>
      </c>
      <c r="H141" s="20">
        <v>-12.41</v>
      </c>
      <c r="I141" s="20">
        <v>6.1829999999999998</v>
      </c>
      <c r="J141" s="20">
        <v>-46.22</v>
      </c>
      <c r="K141" s="20">
        <v>-4.5310000000000003E-2</v>
      </c>
      <c r="L141" s="20">
        <v>-5.79</v>
      </c>
      <c r="M141" s="20">
        <v>-4.4429999999999997E-2</v>
      </c>
      <c r="N141" s="20">
        <v>-52.28</v>
      </c>
      <c r="O141" s="20">
        <v>-0.91120000000000001</v>
      </c>
      <c r="P141" s="20">
        <v>0.97319999999999995</v>
      </c>
      <c r="Q141" s="20">
        <v>-4.4429999999999997E-2</v>
      </c>
      <c r="R141" s="20">
        <v>-52.28</v>
      </c>
      <c r="S141" s="20">
        <f t="shared" si="16"/>
        <v>0.99017793013468669</v>
      </c>
      <c r="T141" s="20">
        <f t="shared" si="17"/>
        <v>-9.8117331957149306E-2</v>
      </c>
      <c r="U141" s="20">
        <f t="shared" si="18"/>
        <v>-20.318304362028485</v>
      </c>
      <c r="V141" s="20">
        <f t="shared" si="19"/>
        <v>-95.589281129650828</v>
      </c>
      <c r="W141" s="20">
        <f t="shared" si="20"/>
        <v>0.90201140587769635</v>
      </c>
      <c r="X141" s="20">
        <f t="shared" si="21"/>
        <v>1.1115169212600976E-2</v>
      </c>
      <c r="Y141" s="20">
        <f t="shared" si="22"/>
        <v>-20.31867776391374</v>
      </c>
      <c r="Z141" s="20">
        <f t="shared" si="23"/>
        <v>175.72495454894391</v>
      </c>
    </row>
    <row r="142" spans="2:26" x14ac:dyDescent="0.25">
      <c r="B142" s="6">
        <v>660700000</v>
      </c>
      <c r="C142" s="20">
        <v>3.2250000000000001</v>
      </c>
      <c r="D142" s="20">
        <v>-14.08</v>
      </c>
      <c r="E142" s="20">
        <v>5.5069999999999997</v>
      </c>
      <c r="F142" s="20">
        <v>-42.77</v>
      </c>
      <c r="G142" s="20">
        <v>2.3530000000000002</v>
      </c>
      <c r="H142" s="20">
        <v>-12.37</v>
      </c>
      <c r="I142" s="20">
        <v>6.2439999999999998</v>
      </c>
      <c r="J142" s="20">
        <v>-47.66</v>
      </c>
      <c r="K142" s="20">
        <v>-4.7410000000000001E-2</v>
      </c>
      <c r="L142" s="20">
        <v>-5.9240000000000004</v>
      </c>
      <c r="M142" s="20">
        <v>-4.6510000000000003E-2</v>
      </c>
      <c r="N142" s="20">
        <v>-53.5</v>
      </c>
      <c r="O142" s="20">
        <v>-0.92569999999999997</v>
      </c>
      <c r="P142" s="20">
        <v>1.258</v>
      </c>
      <c r="Q142" s="20">
        <v>-4.6510000000000003E-2</v>
      </c>
      <c r="R142" s="20">
        <v>-53.5</v>
      </c>
      <c r="S142" s="20">
        <f t="shared" si="16"/>
        <v>0.98972195073656133</v>
      </c>
      <c r="T142" s="20">
        <f t="shared" si="17"/>
        <v>-0.10035777139243086</v>
      </c>
      <c r="U142" s="20">
        <f t="shared" si="18"/>
        <v>-20.12178101150278</v>
      </c>
      <c r="V142" s="20">
        <f t="shared" si="19"/>
        <v>-95.71656942706035</v>
      </c>
      <c r="W142" s="20">
        <f t="shared" si="20"/>
        <v>0.90027947315693613</v>
      </c>
      <c r="X142" s="20">
        <f t="shared" si="21"/>
        <v>1.5293207625563368E-2</v>
      </c>
      <c r="Y142" s="20">
        <f t="shared" si="22"/>
        <v>-20.120964765155406</v>
      </c>
      <c r="Z142" s="20">
        <f t="shared" si="23"/>
        <v>173.52841315196952</v>
      </c>
    </row>
    <row r="143" spans="2:26" x14ac:dyDescent="0.25">
      <c r="B143" s="6">
        <v>676100000</v>
      </c>
      <c r="C143" s="20">
        <v>3.1619999999999999</v>
      </c>
      <c r="D143" s="20">
        <v>-14.28</v>
      </c>
      <c r="E143" s="20">
        <v>5.5519999999999996</v>
      </c>
      <c r="F143" s="20">
        <v>-43.92</v>
      </c>
      <c r="G143" s="20">
        <v>2.2370000000000001</v>
      </c>
      <c r="H143" s="20">
        <v>-12.29</v>
      </c>
      <c r="I143" s="20">
        <v>6.306</v>
      </c>
      <c r="J143" s="20">
        <v>-49.16</v>
      </c>
      <c r="K143" s="20">
        <v>-4.9599999999999998E-2</v>
      </c>
      <c r="L143" s="20">
        <v>-6.0609999999999999</v>
      </c>
      <c r="M143" s="20">
        <v>-4.8680000000000001E-2</v>
      </c>
      <c r="N143" s="20">
        <v>-54.75</v>
      </c>
      <c r="O143" s="20">
        <v>-0.93820000000000003</v>
      </c>
      <c r="P143" s="20">
        <v>1.5589999999999999</v>
      </c>
      <c r="Q143" s="20">
        <v>-4.8680000000000001E-2</v>
      </c>
      <c r="R143" s="20">
        <v>-54.75</v>
      </c>
      <c r="S143" s="20">
        <f t="shared" si="16"/>
        <v>0.98924533317282626</v>
      </c>
      <c r="T143" s="20">
        <f t="shared" si="17"/>
        <v>-0.10264737811471723</v>
      </c>
      <c r="U143" s="20">
        <f t="shared" si="18"/>
        <v>-19.923665454211474</v>
      </c>
      <c r="V143" s="20">
        <f t="shared" si="19"/>
        <v>-95.847507522095199</v>
      </c>
      <c r="W143" s="20">
        <f t="shared" si="20"/>
        <v>0.8986908293870578</v>
      </c>
      <c r="X143" s="20">
        <f t="shared" si="21"/>
        <v>1.9735044693721098E-2</v>
      </c>
      <c r="Y143" s="20">
        <f t="shared" si="22"/>
        <v>-19.92334751195504</v>
      </c>
      <c r="Z143" s="20">
        <f t="shared" si="23"/>
        <v>171.28101228685736</v>
      </c>
    </row>
    <row r="144" spans="2:26" x14ac:dyDescent="0.25">
      <c r="B144" s="6">
        <v>691800000</v>
      </c>
      <c r="C144" s="20">
        <v>3.0960000000000001</v>
      </c>
      <c r="D144" s="20">
        <v>-14.48</v>
      </c>
      <c r="E144" s="20">
        <v>5.5979999999999999</v>
      </c>
      <c r="F144" s="20">
        <v>-45.1</v>
      </c>
      <c r="G144" s="20">
        <v>2.1150000000000002</v>
      </c>
      <c r="H144" s="20">
        <v>-12.16</v>
      </c>
      <c r="I144" s="20">
        <v>6.3680000000000003</v>
      </c>
      <c r="J144" s="20">
        <v>-50.72</v>
      </c>
      <c r="K144" s="20">
        <v>-5.1889999999999999E-2</v>
      </c>
      <c r="L144" s="20">
        <v>-6.2</v>
      </c>
      <c r="M144" s="20">
        <v>-5.0959999999999998E-2</v>
      </c>
      <c r="N144" s="20">
        <v>-56.02</v>
      </c>
      <c r="O144" s="20">
        <v>-0.9486</v>
      </c>
      <c r="P144" s="20">
        <v>1.8779999999999999</v>
      </c>
      <c r="Q144" s="20">
        <v>-5.0959999999999998E-2</v>
      </c>
      <c r="R144" s="20">
        <v>-56.02</v>
      </c>
      <c r="S144" s="20">
        <f t="shared" si="16"/>
        <v>0.9887477377830548</v>
      </c>
      <c r="T144" s="20">
        <f t="shared" si="17"/>
        <v>-0.10498599422637837</v>
      </c>
      <c r="U144" s="20">
        <f t="shared" si="18"/>
        <v>-19.725628451459844</v>
      </c>
      <c r="V144" s="20">
        <f t="shared" si="19"/>
        <v>-95.981224512449515</v>
      </c>
      <c r="W144" s="20">
        <f t="shared" si="20"/>
        <v>0.89728252870956227</v>
      </c>
      <c r="X144" s="20">
        <f t="shared" si="21"/>
        <v>2.4420800283411592E-2</v>
      </c>
      <c r="Y144" s="20">
        <f t="shared" si="22"/>
        <v>-19.725272560286665</v>
      </c>
      <c r="Z144" s="20">
        <f t="shared" si="23"/>
        <v>168.97682084620106</v>
      </c>
    </row>
    <row r="145" spans="2:26" x14ac:dyDescent="0.25">
      <c r="B145" s="6">
        <v>707900000</v>
      </c>
      <c r="C145" s="20">
        <v>3.0270000000000001</v>
      </c>
      <c r="D145" s="20">
        <v>-14.66</v>
      </c>
      <c r="E145" s="20">
        <v>5.6459999999999999</v>
      </c>
      <c r="F145" s="20">
        <v>-46.33</v>
      </c>
      <c r="G145" s="20">
        <v>1.9890000000000001</v>
      </c>
      <c r="H145" s="20">
        <v>-11.97</v>
      </c>
      <c r="I145" s="20">
        <v>6.43</v>
      </c>
      <c r="J145" s="20">
        <v>-52.34</v>
      </c>
      <c r="K145" s="20">
        <v>-5.4289999999999998E-2</v>
      </c>
      <c r="L145" s="20">
        <v>-6.343</v>
      </c>
      <c r="M145" s="20">
        <v>-5.3339999999999999E-2</v>
      </c>
      <c r="N145" s="20">
        <v>-57.32</v>
      </c>
      <c r="O145" s="20">
        <v>-0.95640000000000003</v>
      </c>
      <c r="P145" s="20">
        <v>2.2130000000000001</v>
      </c>
      <c r="Q145" s="20">
        <v>-5.3339999999999999E-2</v>
      </c>
      <c r="R145" s="20">
        <v>-57.32</v>
      </c>
      <c r="S145" s="20">
        <f t="shared" si="16"/>
        <v>0.98822955445330085</v>
      </c>
      <c r="T145" s="20">
        <f t="shared" si="17"/>
        <v>-0.10735608477826575</v>
      </c>
      <c r="U145" s="20">
        <f t="shared" si="18"/>
        <v>-19.527768463907318</v>
      </c>
      <c r="V145" s="20">
        <f t="shared" si="19"/>
        <v>-96.117533807928567</v>
      </c>
      <c r="W145" s="20">
        <f t="shared" si="20"/>
        <v>0.89605912332895277</v>
      </c>
      <c r="X145" s="20">
        <f t="shared" si="21"/>
        <v>2.9380906334804755E-2</v>
      </c>
      <c r="Y145" s="20">
        <f t="shared" si="22"/>
        <v>-19.528320875959835</v>
      </c>
      <c r="Z145" s="20">
        <f t="shared" si="23"/>
        <v>166.62637023656336</v>
      </c>
    </row>
    <row r="146" spans="2:26" x14ac:dyDescent="0.25">
      <c r="B146" s="6">
        <v>724400000</v>
      </c>
      <c r="C146" s="20">
        <v>2.9550000000000001</v>
      </c>
      <c r="D146" s="20">
        <v>-14.82</v>
      </c>
      <c r="E146" s="20">
        <v>5.6950000000000003</v>
      </c>
      <c r="F146" s="20">
        <v>-47.6</v>
      </c>
      <c r="G146" s="20">
        <v>1.857</v>
      </c>
      <c r="H146" s="20">
        <v>-11.72</v>
      </c>
      <c r="I146" s="20">
        <v>6.4909999999999997</v>
      </c>
      <c r="J146" s="20">
        <v>-54.03</v>
      </c>
      <c r="K146" s="20">
        <v>-5.679E-2</v>
      </c>
      <c r="L146" s="20">
        <v>-6.49</v>
      </c>
      <c r="M146" s="20">
        <v>-5.5840000000000001E-2</v>
      </c>
      <c r="N146" s="20">
        <v>-58.66</v>
      </c>
      <c r="O146" s="20">
        <v>-0.96140000000000003</v>
      </c>
      <c r="P146" s="20">
        <v>2.5659999999999998</v>
      </c>
      <c r="Q146" s="20">
        <v>-5.5840000000000001E-2</v>
      </c>
      <c r="R146" s="20">
        <v>-58.66</v>
      </c>
      <c r="S146" s="20">
        <f t="shared" si="16"/>
        <v>0.98768558995840372</v>
      </c>
      <c r="T146" s="20">
        <f t="shared" si="17"/>
        <v>-0.109791850956865</v>
      </c>
      <c r="U146" s="20">
        <f t="shared" si="18"/>
        <v>-19.331572427862728</v>
      </c>
      <c r="V146" s="20">
        <f t="shared" si="19"/>
        <v>-96.25687794677205</v>
      </c>
      <c r="W146" s="20">
        <f t="shared" si="20"/>
        <v>0.89506788301749118</v>
      </c>
      <c r="X146" s="20">
        <f t="shared" si="21"/>
        <v>3.4588425610785074E-2</v>
      </c>
      <c r="Y146" s="20">
        <f t="shared" si="22"/>
        <v>-19.330429052965531</v>
      </c>
      <c r="Z146" s="20">
        <f t="shared" si="23"/>
        <v>164.2160253245919</v>
      </c>
    </row>
    <row r="147" spans="2:26" x14ac:dyDescent="0.25">
      <c r="B147" s="6">
        <v>741300000</v>
      </c>
      <c r="C147" s="20">
        <v>2.8780000000000001</v>
      </c>
      <c r="D147" s="20">
        <v>-14.98</v>
      </c>
      <c r="E147" s="20">
        <v>5.7460000000000004</v>
      </c>
      <c r="F147" s="20">
        <v>-48.91</v>
      </c>
      <c r="G147" s="20">
        <v>1.722</v>
      </c>
      <c r="H147" s="20">
        <v>-11.38</v>
      </c>
      <c r="I147" s="20">
        <v>6.5510000000000002</v>
      </c>
      <c r="J147" s="20">
        <v>-55.79</v>
      </c>
      <c r="K147" s="20">
        <v>-5.9409999999999998E-2</v>
      </c>
      <c r="L147" s="20">
        <v>-6.6390000000000002</v>
      </c>
      <c r="M147" s="20">
        <v>-5.8450000000000002E-2</v>
      </c>
      <c r="N147" s="20">
        <v>-60.02</v>
      </c>
      <c r="O147" s="20">
        <v>-0.96330000000000005</v>
      </c>
      <c r="P147" s="20">
        <v>2.9350000000000001</v>
      </c>
      <c r="Q147" s="20">
        <v>-5.8450000000000002E-2</v>
      </c>
      <c r="R147" s="20">
        <v>-60.02</v>
      </c>
      <c r="S147" s="20">
        <f t="shared" si="16"/>
        <v>0.98711649799616619</v>
      </c>
      <c r="T147" s="20">
        <f t="shared" si="17"/>
        <v>-0.11229320132396382</v>
      </c>
      <c r="U147" s="20">
        <f t="shared" si="18"/>
        <v>-19.134303621120111</v>
      </c>
      <c r="V147" s="20">
        <f t="shared" si="19"/>
        <v>-96.399629326960351</v>
      </c>
      <c r="W147" s="20">
        <f t="shared" si="20"/>
        <v>0.8943228353685726</v>
      </c>
      <c r="X147" s="20">
        <f t="shared" si="21"/>
        <v>4.007918039896112E-2</v>
      </c>
      <c r="Y147" s="20">
        <f t="shared" si="22"/>
        <v>-19.133872002431875</v>
      </c>
      <c r="Z147" s="20">
        <f t="shared" si="23"/>
        <v>161.75640114965714</v>
      </c>
    </row>
    <row r="148" spans="2:26" x14ac:dyDescent="0.25">
      <c r="B148" s="6">
        <v>758600000</v>
      </c>
      <c r="C148" s="20">
        <v>2.798</v>
      </c>
      <c r="D148" s="20">
        <v>-15.11</v>
      </c>
      <c r="E148" s="20">
        <v>5.798</v>
      </c>
      <c r="F148" s="20">
        <v>-50.27</v>
      </c>
      <c r="G148" s="20">
        <v>1.5820000000000001</v>
      </c>
      <c r="H148" s="20">
        <v>-10.95</v>
      </c>
      <c r="I148" s="20">
        <v>6.61</v>
      </c>
      <c r="J148" s="20">
        <v>-57.61</v>
      </c>
      <c r="K148" s="20">
        <v>-6.2149999999999997E-2</v>
      </c>
      <c r="L148" s="20">
        <v>-6.7919999999999998</v>
      </c>
      <c r="M148" s="20">
        <v>-6.1179999999999998E-2</v>
      </c>
      <c r="N148" s="20">
        <v>-61.42</v>
      </c>
      <c r="O148" s="20">
        <v>-0.96160000000000001</v>
      </c>
      <c r="P148" s="20">
        <v>3.319</v>
      </c>
      <c r="Q148" s="20">
        <v>-6.1179999999999998E-2</v>
      </c>
      <c r="R148" s="20">
        <v>-61.42</v>
      </c>
      <c r="S148" s="20">
        <f t="shared" si="16"/>
        <v>0.98652351895432389</v>
      </c>
      <c r="T148" s="20">
        <f t="shared" si="17"/>
        <v>-0.11482521429097904</v>
      </c>
      <c r="U148" s="20">
        <f t="shared" si="18"/>
        <v>-18.936136738124986</v>
      </c>
      <c r="V148" s="20">
        <f t="shared" si="19"/>
        <v>-96.544979870414139</v>
      </c>
      <c r="W148" s="20">
        <f t="shared" si="20"/>
        <v>0.89385062249392033</v>
      </c>
      <c r="X148" s="20">
        <f t="shared" si="21"/>
        <v>4.582795964513689E-2</v>
      </c>
      <c r="Y148" s="20">
        <f t="shared" si="22"/>
        <v>-18.936729581008287</v>
      </c>
      <c r="Z148" s="20">
        <f t="shared" si="23"/>
        <v>159.23023915119549</v>
      </c>
    </row>
    <row r="149" spans="2:26" x14ac:dyDescent="0.25">
      <c r="B149" s="6">
        <v>776200000</v>
      </c>
      <c r="C149" s="20">
        <v>2.7149999999999999</v>
      </c>
      <c r="D149" s="20">
        <v>-15.23</v>
      </c>
      <c r="E149" s="20">
        <v>5.851</v>
      </c>
      <c r="F149" s="20">
        <v>-51.67</v>
      </c>
      <c r="G149" s="20">
        <v>1.4410000000000001</v>
      </c>
      <c r="H149" s="20">
        <v>-10.43</v>
      </c>
      <c r="I149" s="20">
        <v>6.6669999999999998</v>
      </c>
      <c r="J149" s="20">
        <v>-59.51</v>
      </c>
      <c r="K149" s="20">
        <v>-6.5019999999999994E-2</v>
      </c>
      <c r="L149" s="20">
        <v>-6.9489999999999998</v>
      </c>
      <c r="M149" s="20">
        <v>-6.4030000000000004E-2</v>
      </c>
      <c r="N149" s="20">
        <v>-62.85</v>
      </c>
      <c r="O149" s="20">
        <v>-0.95609999999999995</v>
      </c>
      <c r="P149" s="20">
        <v>3.718</v>
      </c>
      <c r="Q149" s="20">
        <v>-6.4030000000000004E-2</v>
      </c>
      <c r="R149" s="20">
        <v>-62.85</v>
      </c>
      <c r="S149" s="20">
        <f t="shared" si="16"/>
        <v>0.98590232198701577</v>
      </c>
      <c r="T149" s="20">
        <f t="shared" si="17"/>
        <v>-0.11742212140751408</v>
      </c>
      <c r="U149" s="20">
        <f t="shared" si="18"/>
        <v>-18.739840720066937</v>
      </c>
      <c r="V149" s="20">
        <f t="shared" si="19"/>
        <v>-96.693905862297882</v>
      </c>
      <c r="W149" s="20">
        <f t="shared" si="20"/>
        <v>0.8936983053705323</v>
      </c>
      <c r="X149" s="20">
        <f t="shared" si="21"/>
        <v>5.1827672635885363E-2</v>
      </c>
      <c r="Y149" s="20">
        <f t="shared" si="22"/>
        <v>-18.739370643140617</v>
      </c>
      <c r="Z149" s="20">
        <f t="shared" si="23"/>
        <v>156.6486532295298</v>
      </c>
    </row>
    <row r="150" spans="2:26" x14ac:dyDescent="0.25">
      <c r="B150" s="6">
        <v>794300000</v>
      </c>
      <c r="C150" s="20">
        <v>2.6269999999999998</v>
      </c>
      <c r="D150" s="20">
        <v>-15.32</v>
      </c>
      <c r="E150" s="20">
        <v>5.9059999999999997</v>
      </c>
      <c r="F150" s="20">
        <v>-53.12</v>
      </c>
      <c r="G150" s="20">
        <v>1.2989999999999999</v>
      </c>
      <c r="H150" s="20">
        <v>-9.8000000000000007</v>
      </c>
      <c r="I150" s="20">
        <v>6.7210000000000001</v>
      </c>
      <c r="J150" s="20">
        <v>-61.48</v>
      </c>
      <c r="K150" s="20">
        <v>-6.8010000000000001E-2</v>
      </c>
      <c r="L150" s="20">
        <v>-7.1079999999999997</v>
      </c>
      <c r="M150" s="20">
        <v>-6.7019999999999996E-2</v>
      </c>
      <c r="N150" s="20">
        <v>-64.31</v>
      </c>
      <c r="O150" s="20">
        <v>-0.94640000000000002</v>
      </c>
      <c r="P150" s="20">
        <v>4.13</v>
      </c>
      <c r="Q150" s="20">
        <v>-6.7019999999999996E-2</v>
      </c>
      <c r="R150" s="20">
        <v>-64.31</v>
      </c>
      <c r="S150" s="20">
        <f t="shared" si="16"/>
        <v>0.98525126338855362</v>
      </c>
      <c r="T150" s="20">
        <f t="shared" si="17"/>
        <v>-0.1200835294576333</v>
      </c>
      <c r="U150" s="20">
        <f t="shared" si="18"/>
        <v>-18.542847674664088</v>
      </c>
      <c r="V150" s="20">
        <f t="shared" si="19"/>
        <v>-96.846151808405551</v>
      </c>
      <c r="W150" s="20">
        <f t="shared" si="20"/>
        <v>0.89388155377678957</v>
      </c>
      <c r="X150" s="20">
        <f t="shared" si="21"/>
        <v>5.8086728344926675E-2</v>
      </c>
      <c r="Y150" s="20">
        <f t="shared" si="22"/>
        <v>-18.543015720069224</v>
      </c>
      <c r="Z150" s="20">
        <f t="shared" si="23"/>
        <v>154.00832922150119</v>
      </c>
    </row>
    <row r="151" spans="2:26" x14ac:dyDescent="0.25">
      <c r="B151" s="6">
        <v>812800000</v>
      </c>
      <c r="C151" s="20">
        <v>2.5350000000000001</v>
      </c>
      <c r="D151" s="20">
        <v>-15.38</v>
      </c>
      <c r="E151" s="20">
        <v>5.9619999999999997</v>
      </c>
      <c r="F151" s="20">
        <v>-54.63</v>
      </c>
      <c r="G151" s="20">
        <v>1.1579999999999999</v>
      </c>
      <c r="H151" s="20">
        <v>-9.048</v>
      </c>
      <c r="I151" s="20">
        <v>6.7729999999999997</v>
      </c>
      <c r="J151" s="20">
        <v>-63.53</v>
      </c>
      <c r="K151" s="20">
        <v>-7.1139999999999995E-2</v>
      </c>
      <c r="L151" s="20">
        <v>-7.2720000000000002</v>
      </c>
      <c r="M151" s="20">
        <v>-7.0150000000000004E-2</v>
      </c>
      <c r="N151" s="20">
        <v>-65.81</v>
      </c>
      <c r="O151" s="20">
        <v>-0.93200000000000005</v>
      </c>
      <c r="P151" s="20">
        <v>4.5540000000000003</v>
      </c>
      <c r="Q151" s="20">
        <v>-7.0150000000000004E-2</v>
      </c>
      <c r="R151" s="20">
        <v>-65.81</v>
      </c>
      <c r="S151" s="20">
        <f t="shared" si="16"/>
        <v>0.98457524442066613</v>
      </c>
      <c r="T151" s="20">
        <f t="shared" si="17"/>
        <v>-0.1227749373610286</v>
      </c>
      <c r="U151" s="20">
        <f t="shared" si="18"/>
        <v>-18.345307397295922</v>
      </c>
      <c r="V151" s="20">
        <f t="shared" si="19"/>
        <v>-97.002036783992423</v>
      </c>
      <c r="W151" s="20">
        <f t="shared" si="20"/>
        <v>0.89443907066488837</v>
      </c>
      <c r="X151" s="20">
        <f t="shared" si="21"/>
        <v>6.4584941041741034E-2</v>
      </c>
      <c r="Y151" s="20">
        <f t="shared" si="22"/>
        <v>-18.346015567047214</v>
      </c>
      <c r="Z151" s="20">
        <f t="shared" si="23"/>
        <v>151.30474581722979</v>
      </c>
    </row>
    <row r="152" spans="2:26" x14ac:dyDescent="0.25">
      <c r="B152" s="6">
        <v>831800000</v>
      </c>
      <c r="C152" s="20">
        <v>2.4390000000000001</v>
      </c>
      <c r="D152" s="20">
        <v>-15.41</v>
      </c>
      <c r="E152" s="20">
        <v>6.0190000000000001</v>
      </c>
      <c r="F152" s="20">
        <v>-56.19</v>
      </c>
      <c r="G152" s="20">
        <v>1.02</v>
      </c>
      <c r="H152" s="20">
        <v>-8.1690000000000005</v>
      </c>
      <c r="I152" s="20">
        <v>6.82</v>
      </c>
      <c r="J152" s="20">
        <v>-65.66</v>
      </c>
      <c r="K152" s="20">
        <v>-7.4410000000000004E-2</v>
      </c>
      <c r="L152" s="20">
        <v>-7.4390000000000001</v>
      </c>
      <c r="M152" s="20">
        <v>-7.3419999999999999E-2</v>
      </c>
      <c r="N152" s="20">
        <v>-67.34</v>
      </c>
      <c r="O152" s="20">
        <v>-0.91269999999999996</v>
      </c>
      <c r="P152" s="20">
        <v>4.9870000000000001</v>
      </c>
      <c r="Q152" s="20">
        <v>-7.3419999999999999E-2</v>
      </c>
      <c r="R152" s="20">
        <v>-67.34</v>
      </c>
      <c r="S152" s="20">
        <f t="shared" si="16"/>
        <v>0.98386518378461152</v>
      </c>
      <c r="T152" s="20">
        <f t="shared" si="17"/>
        <v>-0.12554736992439863</v>
      </c>
      <c r="U152" s="20">
        <f t="shared" si="18"/>
        <v>-18.149791886885524</v>
      </c>
      <c r="V152" s="20">
        <f t="shared" si="19"/>
        <v>-97.160802780678281</v>
      </c>
      <c r="W152" s="20">
        <f t="shared" si="20"/>
        <v>0.89541989498415286</v>
      </c>
      <c r="X152" s="20">
        <f t="shared" si="21"/>
        <v>7.1320277834479445E-2</v>
      </c>
      <c r="Y152" s="20">
        <f t="shared" si="22"/>
        <v>-18.149021572542512</v>
      </c>
      <c r="Z152" s="20">
        <f t="shared" si="23"/>
        <v>148.54061336917377</v>
      </c>
    </row>
    <row r="153" spans="2:26" x14ac:dyDescent="0.25">
      <c r="B153" s="6">
        <v>851100000</v>
      </c>
      <c r="C153" s="20">
        <v>2.34</v>
      </c>
      <c r="D153" s="20">
        <v>-15.4</v>
      </c>
      <c r="E153" s="20">
        <v>6.077</v>
      </c>
      <c r="F153" s="20">
        <v>-57.8</v>
      </c>
      <c r="G153" s="20">
        <v>0.8901</v>
      </c>
      <c r="H153" s="20">
        <v>-7.1529999999999996</v>
      </c>
      <c r="I153" s="20">
        <v>6.8620000000000001</v>
      </c>
      <c r="J153" s="20">
        <v>-67.86</v>
      </c>
      <c r="K153" s="20">
        <v>-7.782E-2</v>
      </c>
      <c r="L153" s="20">
        <v>-7.61</v>
      </c>
      <c r="M153" s="20">
        <v>-7.6840000000000006E-2</v>
      </c>
      <c r="N153" s="20">
        <v>-68.900000000000006</v>
      </c>
      <c r="O153" s="20">
        <v>-0.88800000000000001</v>
      </c>
      <c r="P153" s="20">
        <v>5.4269999999999996</v>
      </c>
      <c r="Q153" s="20">
        <v>-7.6840000000000006E-2</v>
      </c>
      <c r="R153" s="20">
        <v>-68.900000000000006</v>
      </c>
      <c r="S153" s="20">
        <f t="shared" si="16"/>
        <v>0.98312488288302624</v>
      </c>
      <c r="T153" s="20">
        <f t="shared" si="17"/>
        <v>-0.12836616882523888</v>
      </c>
      <c r="U153" s="20">
        <f t="shared" si="18"/>
        <v>-17.952704139315337</v>
      </c>
      <c r="V153" s="20">
        <f t="shared" si="19"/>
        <v>-97.323269180605962</v>
      </c>
      <c r="W153" s="20">
        <f t="shared" si="20"/>
        <v>0.89684591789793555</v>
      </c>
      <c r="X153" s="20">
        <f t="shared" si="21"/>
        <v>7.8258809377839356E-2</v>
      </c>
      <c r="Y153" s="20">
        <f t="shared" si="22"/>
        <v>-17.952404362993096</v>
      </c>
      <c r="Z153" s="20">
        <f t="shared" si="23"/>
        <v>145.70726628536408</v>
      </c>
    </row>
    <row r="154" spans="2:26" x14ac:dyDescent="0.25">
      <c r="B154" s="6">
        <v>871000000</v>
      </c>
      <c r="C154" s="20">
        <v>2.2360000000000002</v>
      </c>
      <c r="D154" s="20">
        <v>-15.35</v>
      </c>
      <c r="E154" s="20">
        <v>6.1360000000000001</v>
      </c>
      <c r="F154" s="20">
        <v>-59.47</v>
      </c>
      <c r="G154" s="20">
        <v>0.77010000000000001</v>
      </c>
      <c r="H154" s="20">
        <v>-5.9980000000000002</v>
      </c>
      <c r="I154" s="20">
        <v>6.899</v>
      </c>
      <c r="J154" s="20">
        <v>-70.14</v>
      </c>
      <c r="K154" s="20">
        <v>-8.1390000000000004E-2</v>
      </c>
      <c r="L154" s="20">
        <v>-7.7850000000000001</v>
      </c>
      <c r="M154" s="20">
        <v>-8.0430000000000001E-2</v>
      </c>
      <c r="N154" s="20">
        <v>-70.510000000000005</v>
      </c>
      <c r="O154" s="20">
        <v>-0.85760000000000003</v>
      </c>
      <c r="P154" s="20">
        <v>5.8719999999999999</v>
      </c>
      <c r="Q154" s="20">
        <v>-8.0430000000000001E-2</v>
      </c>
      <c r="R154" s="20">
        <v>-70.510000000000005</v>
      </c>
      <c r="S154" s="20">
        <f t="shared" si="16"/>
        <v>0.982351656554321</v>
      </c>
      <c r="T154" s="20">
        <f t="shared" si="17"/>
        <v>-0.13124820483669702</v>
      </c>
      <c r="U154" s="20">
        <f t="shared" si="18"/>
        <v>-17.756575074105065</v>
      </c>
      <c r="V154" s="20">
        <f t="shared" si="19"/>
        <v>-97.489202461351439</v>
      </c>
      <c r="W154" s="20">
        <f t="shared" si="20"/>
        <v>0.89877069115971753</v>
      </c>
      <c r="X154" s="20">
        <f t="shared" si="21"/>
        <v>8.5386183448406691E-2</v>
      </c>
      <c r="Y154" s="20">
        <f t="shared" si="22"/>
        <v>-17.75591108474822</v>
      </c>
      <c r="Z154" s="20">
        <f t="shared" si="23"/>
        <v>142.81388745105809</v>
      </c>
    </row>
    <row r="155" spans="2:26" x14ac:dyDescent="0.25">
      <c r="B155" s="6">
        <v>891300000</v>
      </c>
      <c r="C155" s="20">
        <v>2.129</v>
      </c>
      <c r="D155" s="20">
        <v>-15.26</v>
      </c>
      <c r="E155" s="20">
        <v>6.1950000000000003</v>
      </c>
      <c r="F155" s="20">
        <v>-61.2</v>
      </c>
      <c r="G155" s="20">
        <v>0.66449999999999998</v>
      </c>
      <c r="H155" s="20">
        <v>-4.7050000000000001</v>
      </c>
      <c r="I155" s="20">
        <v>6.93</v>
      </c>
      <c r="J155" s="20">
        <v>-72.5</v>
      </c>
      <c r="K155" s="20">
        <v>-8.5129999999999997E-2</v>
      </c>
      <c r="L155" s="20">
        <v>-7.9640000000000004</v>
      </c>
      <c r="M155" s="20">
        <v>-8.4169999999999995E-2</v>
      </c>
      <c r="N155" s="20">
        <v>-72.150000000000006</v>
      </c>
      <c r="O155" s="20">
        <v>-0.82120000000000004</v>
      </c>
      <c r="P155" s="20">
        <v>6.319</v>
      </c>
      <c r="Q155" s="20">
        <v>-8.4169999999999995E-2</v>
      </c>
      <c r="R155" s="20">
        <v>-72.150000000000006</v>
      </c>
      <c r="S155" s="20">
        <f t="shared" si="16"/>
        <v>0.98154269202531941</v>
      </c>
      <c r="T155" s="20">
        <f t="shared" si="17"/>
        <v>-0.1341928442339908</v>
      </c>
      <c r="U155" s="20">
        <f t="shared" si="18"/>
        <v>-17.560309465486988</v>
      </c>
      <c r="V155" s="20">
        <f t="shared" si="19"/>
        <v>-97.658364026858479</v>
      </c>
      <c r="W155" s="20">
        <f t="shared" si="20"/>
        <v>0.90122914499108808</v>
      </c>
      <c r="X155" s="20">
        <f t="shared" si="21"/>
        <v>9.2687867877679297E-2</v>
      </c>
      <c r="Y155" s="20">
        <f t="shared" si="22"/>
        <v>-17.560156430364461</v>
      </c>
      <c r="Z155" s="20">
        <f t="shared" si="23"/>
        <v>139.85261286257349</v>
      </c>
    </row>
    <row r="156" spans="2:26" x14ac:dyDescent="0.25">
      <c r="B156" s="6">
        <v>912000000</v>
      </c>
      <c r="C156" s="20">
        <v>2.02</v>
      </c>
      <c r="D156" s="20">
        <v>-15.11</v>
      </c>
      <c r="E156" s="20">
        <v>6.2549999999999999</v>
      </c>
      <c r="F156" s="20">
        <v>-62.99</v>
      </c>
      <c r="G156" s="20">
        <v>0.57779999999999998</v>
      </c>
      <c r="H156" s="20">
        <v>-3.278</v>
      </c>
      <c r="I156" s="20">
        <v>6.9539999999999997</v>
      </c>
      <c r="J156" s="20">
        <v>-74.94</v>
      </c>
      <c r="K156" s="20">
        <v>-8.9029999999999998E-2</v>
      </c>
      <c r="L156" s="20">
        <v>-8.1460000000000008</v>
      </c>
      <c r="M156" s="20">
        <v>-8.8090000000000002E-2</v>
      </c>
      <c r="N156" s="20">
        <v>-73.819999999999993</v>
      </c>
      <c r="O156" s="20">
        <v>-0.77859999999999996</v>
      </c>
      <c r="P156" s="20">
        <v>6.7640000000000002</v>
      </c>
      <c r="Q156" s="20">
        <v>-8.8090000000000002E-2</v>
      </c>
      <c r="R156" s="20">
        <v>-73.819999999999993</v>
      </c>
      <c r="S156" s="20">
        <f t="shared" si="16"/>
        <v>0.98069630302982125</v>
      </c>
      <c r="T156" s="20">
        <f t="shared" si="17"/>
        <v>-0.13719957194712046</v>
      </c>
      <c r="U156" s="20">
        <f t="shared" si="18"/>
        <v>-17.364019980736618</v>
      </c>
      <c r="V156" s="20">
        <f t="shared" si="19"/>
        <v>-97.831503550493053</v>
      </c>
      <c r="W156" s="20">
        <f t="shared" si="20"/>
        <v>0.90426016824549471</v>
      </c>
      <c r="X156" s="20">
        <f t="shared" si="21"/>
        <v>0.10013478199685502</v>
      </c>
      <c r="Y156" s="20">
        <f t="shared" si="22"/>
        <v>-17.364415042592555</v>
      </c>
      <c r="Z156" s="20">
        <f t="shared" si="23"/>
        <v>136.81977755399393</v>
      </c>
    </row>
    <row r="157" spans="2:26" x14ac:dyDescent="0.25">
      <c r="B157" s="6">
        <v>933300000</v>
      </c>
      <c r="C157" s="20">
        <v>1.907</v>
      </c>
      <c r="D157" s="20">
        <v>-14.9</v>
      </c>
      <c r="E157" s="20">
        <v>6.3140000000000001</v>
      </c>
      <c r="F157" s="20">
        <v>-64.849999999999994</v>
      </c>
      <c r="G157" s="20">
        <v>0.51439999999999997</v>
      </c>
      <c r="H157" s="20">
        <v>-1.7330000000000001</v>
      </c>
      <c r="I157" s="20">
        <v>6.9690000000000003</v>
      </c>
      <c r="J157" s="20">
        <v>-77.45</v>
      </c>
      <c r="K157" s="20">
        <v>-9.3100000000000002E-2</v>
      </c>
      <c r="L157" s="20">
        <v>-8.3330000000000002</v>
      </c>
      <c r="M157" s="20">
        <v>-9.2200000000000004E-2</v>
      </c>
      <c r="N157" s="20">
        <v>-75.540000000000006</v>
      </c>
      <c r="O157" s="20">
        <v>-0.72940000000000005</v>
      </c>
      <c r="P157" s="20">
        <v>7.2039999999999997</v>
      </c>
      <c r="Q157" s="20">
        <v>-9.2200000000000004E-2</v>
      </c>
      <c r="R157" s="20">
        <v>-75.540000000000006</v>
      </c>
      <c r="S157" s="20">
        <f t="shared" ref="S157:S188" si="24">10^(K156/20)*COS(PI()/180*L156)</f>
        <v>0.97981550179262533</v>
      </c>
      <c r="T157" s="20">
        <f t="shared" ref="T157:T188" si="25">10^(K156/20)*SIN(PI()/180*L156)</f>
        <v>-0.14025106814346613</v>
      </c>
      <c r="U157" s="20">
        <f t="shared" ref="U157:U188" si="26">10*LOG((S156-1)^2+T156^2)</f>
        <v>-17.167812213527647</v>
      </c>
      <c r="V157" s="20">
        <f t="shared" ref="V157:V188" si="27">180/PI()*ATAN2((S156-1),T156)</f>
        <v>-98.008826858154379</v>
      </c>
      <c r="W157" s="20">
        <f t="shared" ref="W157:W188" si="28">10^(O156/20)*COS(PI()/180*P156)</f>
        <v>0.90789706986203256</v>
      </c>
      <c r="X157" s="20">
        <f t="shared" ref="X157:X188" si="29">10^(O156/20)*SIN(PI()/180*P156)</f>
        <v>0.10768165477970364</v>
      </c>
      <c r="Y157" s="20">
        <f t="shared" ref="Y157:Y188" si="30">10*LOG((W156-1)^2+X156^2)</f>
        <v>-17.168551013364464</v>
      </c>
      <c r="Z157" s="20">
        <f t="shared" ref="Z157:Z188" si="31">180/PI()*ATAN2((W156-1),X156)</f>
        <v>133.71463764401375</v>
      </c>
    </row>
    <row r="158" spans="2:26" x14ac:dyDescent="0.25">
      <c r="B158" s="6">
        <v>955000000</v>
      </c>
      <c r="C158" s="20">
        <v>1.7929999999999999</v>
      </c>
      <c r="D158" s="20">
        <v>-14.62</v>
      </c>
      <c r="E158" s="20">
        <v>6.3739999999999997</v>
      </c>
      <c r="F158" s="20">
        <v>-66.78</v>
      </c>
      <c r="G158" s="20">
        <v>0.47860000000000003</v>
      </c>
      <c r="H158" s="20">
        <v>-8.9880000000000002E-2</v>
      </c>
      <c r="I158" s="20">
        <v>6.976</v>
      </c>
      <c r="J158" s="20">
        <v>-80.03</v>
      </c>
      <c r="K158" s="20">
        <v>-9.7369999999999998E-2</v>
      </c>
      <c r="L158" s="20">
        <v>-8.5239999999999991</v>
      </c>
      <c r="M158" s="20">
        <v>-9.6490000000000006E-2</v>
      </c>
      <c r="N158" s="20">
        <v>-77.3</v>
      </c>
      <c r="O158" s="20">
        <v>-0.67349999999999999</v>
      </c>
      <c r="P158" s="20">
        <v>7.6340000000000003</v>
      </c>
      <c r="Q158" s="20">
        <v>-9.6490000000000006E-2</v>
      </c>
      <c r="R158" s="20">
        <v>-77.3</v>
      </c>
      <c r="S158" s="20">
        <f t="shared" si="24"/>
        <v>0.97889374374383664</v>
      </c>
      <c r="T158" s="20">
        <f t="shared" si="25"/>
        <v>-0.14338100305665033</v>
      </c>
      <c r="U158" s="20">
        <f t="shared" si="26"/>
        <v>-16.972843935316945</v>
      </c>
      <c r="V158" s="20">
        <f t="shared" si="27"/>
        <v>-98.189598428110457</v>
      </c>
      <c r="W158" s="20">
        <f t="shared" si="28"/>
        <v>0.91219576956958093</v>
      </c>
      <c r="X158" s="20">
        <f t="shared" si="29"/>
        <v>0.11530182476859047</v>
      </c>
      <c r="Y158" s="20">
        <f t="shared" si="30"/>
        <v>-16.97273309440077</v>
      </c>
      <c r="Z158" s="20">
        <f t="shared" si="31"/>
        <v>130.54123457353393</v>
      </c>
    </row>
    <row r="159" spans="2:26" x14ac:dyDescent="0.25">
      <c r="B159" s="6">
        <v>977200000</v>
      </c>
      <c r="C159" s="20">
        <v>1.6779999999999999</v>
      </c>
      <c r="D159" s="20">
        <v>-14.27</v>
      </c>
      <c r="E159" s="20">
        <v>6.4329999999999998</v>
      </c>
      <c r="F159" s="20">
        <v>-68.78</v>
      </c>
      <c r="G159" s="20">
        <v>0.47410000000000002</v>
      </c>
      <c r="H159" s="20">
        <v>1.6220000000000001</v>
      </c>
      <c r="I159" s="20">
        <v>6.9720000000000004</v>
      </c>
      <c r="J159" s="20">
        <v>-82.69</v>
      </c>
      <c r="K159" s="20">
        <v>-0.1018</v>
      </c>
      <c r="L159" s="20">
        <v>-8.7200000000000006</v>
      </c>
      <c r="M159" s="20">
        <v>-0.10100000000000001</v>
      </c>
      <c r="N159" s="20">
        <v>-79.099999999999994</v>
      </c>
      <c r="O159" s="20">
        <v>-0.61080000000000001</v>
      </c>
      <c r="P159" s="20">
        <v>8.0500000000000007</v>
      </c>
      <c r="Q159" s="20">
        <v>-0.10100000000000001</v>
      </c>
      <c r="R159" s="20">
        <v>-79.099999999999994</v>
      </c>
      <c r="S159" s="20">
        <f t="shared" si="24"/>
        <v>0.97792946346406373</v>
      </c>
      <c r="T159" s="20">
        <f t="shared" si="25"/>
        <v>-0.14657134736699381</v>
      </c>
      <c r="U159" s="20">
        <f t="shared" si="26"/>
        <v>-16.777065487692891</v>
      </c>
      <c r="V159" s="20">
        <f t="shared" si="27"/>
        <v>-98.374027514337016</v>
      </c>
      <c r="W159" s="20">
        <f t="shared" si="28"/>
        <v>0.9171885783173942</v>
      </c>
      <c r="X159" s="20">
        <f t="shared" si="29"/>
        <v>0.12293308902402958</v>
      </c>
      <c r="Y159" s="20">
        <f t="shared" si="30"/>
        <v>-16.776960534647575</v>
      </c>
      <c r="Z159" s="20">
        <f t="shared" si="31"/>
        <v>127.28986683517265</v>
      </c>
    </row>
    <row r="160" spans="2:26" x14ac:dyDescent="0.25">
      <c r="B160" s="6">
        <v>1000000000</v>
      </c>
      <c r="C160" s="20">
        <v>1.5629999999999999</v>
      </c>
      <c r="D160" s="20">
        <v>-13.84</v>
      </c>
      <c r="E160" s="20">
        <v>6.492</v>
      </c>
      <c r="F160" s="20">
        <v>-70.849999999999994</v>
      </c>
      <c r="G160" s="20">
        <v>0.50380000000000003</v>
      </c>
      <c r="H160" s="20">
        <v>3.3660000000000001</v>
      </c>
      <c r="I160" s="20">
        <v>6.9580000000000002</v>
      </c>
      <c r="J160" s="20">
        <v>-85.4</v>
      </c>
      <c r="K160" s="20">
        <v>-0.1065</v>
      </c>
      <c r="L160" s="20">
        <v>-8.9190000000000005</v>
      </c>
      <c r="M160" s="20">
        <v>-0.1057</v>
      </c>
      <c r="N160" s="20">
        <v>-80.94</v>
      </c>
      <c r="O160" s="20">
        <v>-0.54100000000000004</v>
      </c>
      <c r="P160" s="20">
        <v>8.4480000000000004</v>
      </c>
      <c r="Q160" s="20">
        <v>-0.1057</v>
      </c>
      <c r="R160" s="20">
        <v>-80.94</v>
      </c>
      <c r="S160" s="20">
        <f t="shared" si="24"/>
        <v>0.97692396420296168</v>
      </c>
      <c r="T160" s="20">
        <f t="shared" si="25"/>
        <v>-0.1498393877173525</v>
      </c>
      <c r="U160" s="20">
        <f t="shared" si="26"/>
        <v>-16.581646364571579</v>
      </c>
      <c r="V160" s="20">
        <f t="shared" si="27"/>
        <v>-98.563195499248181</v>
      </c>
      <c r="W160" s="20">
        <f t="shared" si="28"/>
        <v>0.92290998087685805</v>
      </c>
      <c r="X160" s="20">
        <f t="shared" si="29"/>
        <v>0.13052793877040553</v>
      </c>
      <c r="Y160" s="20">
        <f t="shared" si="30"/>
        <v>-16.581644884761758</v>
      </c>
      <c r="Z160" s="20">
        <f t="shared" si="31"/>
        <v>123.96539186434313</v>
      </c>
    </row>
    <row r="161" spans="2:26" x14ac:dyDescent="0.25">
      <c r="B161" s="6">
        <v>1023000000</v>
      </c>
      <c r="C161" s="20">
        <v>1.4490000000000001</v>
      </c>
      <c r="D161" s="20">
        <v>-13.32</v>
      </c>
      <c r="E161" s="20">
        <v>6.5490000000000004</v>
      </c>
      <c r="F161" s="20">
        <v>-72.989999999999995</v>
      </c>
      <c r="G161" s="20">
        <v>0.56889999999999996</v>
      </c>
      <c r="H161" s="20">
        <v>5.1020000000000003</v>
      </c>
      <c r="I161" s="20">
        <v>6.9329999999999998</v>
      </c>
      <c r="J161" s="20">
        <v>-88.17</v>
      </c>
      <c r="K161" s="20">
        <v>-0.1113</v>
      </c>
      <c r="L161" s="20">
        <v>-9.1229999999999993</v>
      </c>
      <c r="M161" s="20">
        <v>-0.1106</v>
      </c>
      <c r="N161" s="20">
        <v>-82.82</v>
      </c>
      <c r="O161" s="20">
        <v>-0.46439999999999998</v>
      </c>
      <c r="P161" s="20">
        <v>8.8219999999999992</v>
      </c>
      <c r="Q161" s="20">
        <v>-0.1106</v>
      </c>
      <c r="R161" s="20">
        <v>-82.82</v>
      </c>
      <c r="S161" s="20">
        <f t="shared" si="24"/>
        <v>0.97586945674982417</v>
      </c>
      <c r="T161" s="20">
        <f t="shared" si="25"/>
        <v>-0.15314864222903274</v>
      </c>
      <c r="U161" s="20">
        <f t="shared" si="26"/>
        <v>-16.385678579166903</v>
      </c>
      <c r="V161" s="20">
        <f t="shared" si="27"/>
        <v>-98.755060635237527</v>
      </c>
      <c r="W161" s="20">
        <f t="shared" si="28"/>
        <v>0.92941993054631422</v>
      </c>
      <c r="X161" s="20">
        <f t="shared" si="29"/>
        <v>0.13804050082706251</v>
      </c>
      <c r="Y161" s="20">
        <f t="shared" si="30"/>
        <v>-16.386421544854546</v>
      </c>
      <c r="Z161" s="20">
        <f t="shared" si="31"/>
        <v>120.56616993771415</v>
      </c>
    </row>
    <row r="162" spans="2:26" x14ac:dyDescent="0.25">
      <c r="B162" s="6">
        <v>1047000000</v>
      </c>
      <c r="C162" s="20">
        <v>1.339</v>
      </c>
      <c r="D162" s="20">
        <v>-12.71</v>
      </c>
      <c r="E162" s="20">
        <v>6.6040000000000001</v>
      </c>
      <c r="F162" s="20">
        <v>-75.209999999999994</v>
      </c>
      <c r="G162" s="20">
        <v>0.66949999999999998</v>
      </c>
      <c r="H162" s="20">
        <v>6.7850000000000001</v>
      </c>
      <c r="I162" s="20">
        <v>6.8949999999999996</v>
      </c>
      <c r="J162" s="20">
        <v>-91</v>
      </c>
      <c r="K162" s="20">
        <v>-0.1164</v>
      </c>
      <c r="L162" s="20">
        <v>-9.3320000000000007</v>
      </c>
      <c r="M162" s="20">
        <v>-0.1157</v>
      </c>
      <c r="N162" s="20">
        <v>-84.74</v>
      </c>
      <c r="O162" s="20">
        <v>-0.38080000000000003</v>
      </c>
      <c r="P162" s="20">
        <v>9.1679999999999993</v>
      </c>
      <c r="Q162" s="20">
        <v>-0.1157</v>
      </c>
      <c r="R162" s="20">
        <v>-84.74</v>
      </c>
      <c r="S162" s="20">
        <f t="shared" si="24"/>
        <v>0.97477915923589764</v>
      </c>
      <c r="T162" s="20">
        <f t="shared" si="25"/>
        <v>-0.15653569099154999</v>
      </c>
      <c r="U162" s="20">
        <f t="shared" si="26"/>
        <v>-16.191235355812928</v>
      </c>
      <c r="V162" s="20">
        <f t="shared" si="27"/>
        <v>-98.954074944406159</v>
      </c>
      <c r="W162" s="20">
        <f t="shared" si="28"/>
        <v>0.93672362641117968</v>
      </c>
      <c r="X162" s="20">
        <f t="shared" si="29"/>
        <v>0.14538079674739754</v>
      </c>
      <c r="Y162" s="20">
        <f t="shared" si="30"/>
        <v>-16.191246858123641</v>
      </c>
      <c r="Z162" s="20">
        <f t="shared" si="31"/>
        <v>117.08064778041302</v>
      </c>
    </row>
    <row r="163" spans="2:26" x14ac:dyDescent="0.25">
      <c r="B163" s="6">
        <v>1072000000</v>
      </c>
      <c r="C163" s="20">
        <v>1.2350000000000001</v>
      </c>
      <c r="D163" s="20">
        <v>-12.01</v>
      </c>
      <c r="E163" s="20">
        <v>6.657</v>
      </c>
      <c r="F163" s="20">
        <v>-77.510000000000005</v>
      </c>
      <c r="G163" s="20">
        <v>0.80379999999999996</v>
      </c>
      <c r="H163" s="20">
        <v>8.375</v>
      </c>
      <c r="I163" s="20">
        <v>6.8449999999999998</v>
      </c>
      <c r="J163" s="20">
        <v>-93.87</v>
      </c>
      <c r="K163" s="20">
        <v>-0.1217</v>
      </c>
      <c r="L163" s="20">
        <v>-9.5449999999999999</v>
      </c>
      <c r="M163" s="20">
        <v>-0.1211</v>
      </c>
      <c r="N163" s="20">
        <v>-86.71</v>
      </c>
      <c r="O163" s="20">
        <v>-0.29060000000000002</v>
      </c>
      <c r="P163" s="20">
        <v>9.48</v>
      </c>
      <c r="Q163" s="20">
        <v>-0.1211</v>
      </c>
      <c r="R163" s="20">
        <v>-86.71</v>
      </c>
      <c r="S163" s="20">
        <f t="shared" si="24"/>
        <v>0.97362983052070162</v>
      </c>
      <c r="T163" s="20">
        <f t="shared" si="25"/>
        <v>-0.15999640984074642</v>
      </c>
      <c r="U163" s="20">
        <f t="shared" si="26"/>
        <v>-15.996431334037403</v>
      </c>
      <c r="V163" s="20">
        <f t="shared" si="27"/>
        <v>-99.152767757054477</v>
      </c>
      <c r="W163" s="20">
        <f t="shared" si="28"/>
        <v>0.94487927467725619</v>
      </c>
      <c r="X163" s="20">
        <f t="shared" si="29"/>
        <v>0.1524955340319703</v>
      </c>
      <c r="Y163" s="20">
        <f t="shared" si="30"/>
        <v>-15.996437872009363</v>
      </c>
      <c r="Z163" s="20">
        <f t="shared" si="31"/>
        <v>113.52087906303937</v>
      </c>
    </row>
    <row r="164" spans="2:26" x14ac:dyDescent="0.25">
      <c r="B164" s="6">
        <v>1096000000</v>
      </c>
      <c r="C164" s="20">
        <v>1.139</v>
      </c>
      <c r="D164" s="20">
        <v>-11.2</v>
      </c>
      <c r="E164" s="20">
        <v>6.7069999999999999</v>
      </c>
      <c r="F164" s="20">
        <v>-79.900000000000006</v>
      </c>
      <c r="G164" s="20">
        <v>0.96860000000000002</v>
      </c>
      <c r="H164" s="20">
        <v>9.8309999999999995</v>
      </c>
      <c r="I164" s="20">
        <v>6.782</v>
      </c>
      <c r="J164" s="20">
        <v>-96.78</v>
      </c>
      <c r="K164" s="20">
        <v>-0.1273</v>
      </c>
      <c r="L164" s="20">
        <v>-9.7629999999999999</v>
      </c>
      <c r="M164" s="20">
        <v>-0.12670000000000001</v>
      </c>
      <c r="N164" s="20">
        <v>-88.73</v>
      </c>
      <c r="O164" s="20">
        <v>-0.1938</v>
      </c>
      <c r="P164" s="20">
        <v>9.7530000000000001</v>
      </c>
      <c r="Q164" s="20">
        <v>-0.12670000000000001</v>
      </c>
      <c r="R164" s="20">
        <v>-88.73</v>
      </c>
      <c r="S164" s="20">
        <f t="shared" si="24"/>
        <v>0.97243476294028808</v>
      </c>
      <c r="T164" s="20">
        <f t="shared" si="25"/>
        <v>-0.16351500990243051</v>
      </c>
      <c r="U164" s="20">
        <f t="shared" si="26"/>
        <v>-15.801394269181898</v>
      </c>
      <c r="V164" s="20">
        <f t="shared" si="27"/>
        <v>-99.359191924197262</v>
      </c>
      <c r="W164" s="20">
        <f t="shared" si="28"/>
        <v>0.95388942588857584</v>
      </c>
      <c r="X164" s="20">
        <f t="shared" si="29"/>
        <v>0.15928407071141221</v>
      </c>
      <c r="Y164" s="20">
        <f t="shared" si="30"/>
        <v>-15.801568481182722</v>
      </c>
      <c r="Z164" s="20">
        <f t="shared" si="31"/>
        <v>109.87279311114631</v>
      </c>
    </row>
    <row r="165" spans="2:26" x14ac:dyDescent="0.25">
      <c r="B165" s="6">
        <v>1122000000</v>
      </c>
      <c r="C165" s="20">
        <v>1.0529999999999999</v>
      </c>
      <c r="D165" s="20">
        <v>-10.3</v>
      </c>
      <c r="E165" s="20">
        <v>6.7530000000000001</v>
      </c>
      <c r="F165" s="20">
        <v>-82.36</v>
      </c>
      <c r="G165" s="20">
        <v>1.159</v>
      </c>
      <c r="H165" s="20">
        <v>11.12</v>
      </c>
      <c r="I165" s="20">
        <v>6.7060000000000004</v>
      </c>
      <c r="J165" s="20">
        <v>-99.71</v>
      </c>
      <c r="K165" s="20">
        <v>-0.1331</v>
      </c>
      <c r="L165" s="20">
        <v>-9.9860000000000007</v>
      </c>
      <c r="M165" s="20">
        <v>-0.1326</v>
      </c>
      <c r="N165" s="20">
        <v>-90.79</v>
      </c>
      <c r="O165" s="20">
        <v>-9.0969999999999995E-2</v>
      </c>
      <c r="P165" s="20">
        <v>9.9819999999999993</v>
      </c>
      <c r="Q165" s="20">
        <v>-0.1326</v>
      </c>
      <c r="R165" s="20">
        <v>-90.79</v>
      </c>
      <c r="S165" s="20">
        <f t="shared" si="24"/>
        <v>0.97117923656048555</v>
      </c>
      <c r="T165" s="20">
        <f t="shared" si="25"/>
        <v>-0.16710598252225564</v>
      </c>
      <c r="U165" s="20">
        <f t="shared" si="26"/>
        <v>-15.607146743690663</v>
      </c>
      <c r="V165" s="20">
        <f t="shared" si="27"/>
        <v>-99.568910048984705</v>
      </c>
      <c r="W165" s="20">
        <f t="shared" si="28"/>
        <v>0.96380111473955854</v>
      </c>
      <c r="X165" s="20">
        <f t="shared" si="29"/>
        <v>0.165663275719068</v>
      </c>
      <c r="Y165" s="20">
        <f t="shared" si="30"/>
        <v>-15.60705206297926</v>
      </c>
      <c r="Z165" s="20">
        <f t="shared" si="31"/>
        <v>106.1450116413001</v>
      </c>
    </row>
    <row r="166" spans="2:26" x14ac:dyDescent="0.25">
      <c r="B166" s="6">
        <v>1148000000</v>
      </c>
      <c r="C166" s="20">
        <v>0.98070000000000002</v>
      </c>
      <c r="D166" s="20">
        <v>-9.298</v>
      </c>
      <c r="E166" s="20">
        <v>6.7960000000000003</v>
      </c>
      <c r="F166" s="20">
        <v>-84.9</v>
      </c>
      <c r="G166" s="20">
        <v>1.371</v>
      </c>
      <c r="H166" s="20">
        <v>12.23</v>
      </c>
      <c r="I166" s="20">
        <v>6.6159999999999997</v>
      </c>
      <c r="J166" s="20">
        <v>-102.7</v>
      </c>
      <c r="K166" s="20">
        <v>-0.1391</v>
      </c>
      <c r="L166" s="20">
        <v>-10.210000000000001</v>
      </c>
      <c r="M166" s="20">
        <v>-0.13869999999999999</v>
      </c>
      <c r="N166" s="20">
        <v>-92.9</v>
      </c>
      <c r="O166" s="20">
        <v>1.7639999999999999E-2</v>
      </c>
      <c r="P166" s="20">
        <v>10.16</v>
      </c>
      <c r="Q166" s="20">
        <v>-0.13869999999999999</v>
      </c>
      <c r="R166" s="20">
        <v>-92.9</v>
      </c>
      <c r="S166" s="20">
        <f t="shared" si="24"/>
        <v>0.96987364269737131</v>
      </c>
      <c r="T166" s="20">
        <f t="shared" si="25"/>
        <v>-0.17077054862666852</v>
      </c>
      <c r="U166" s="20">
        <f t="shared" si="26"/>
        <v>-15.412859363376466</v>
      </c>
      <c r="V166" s="20">
        <f t="shared" si="27"/>
        <v>-99.78553266540672</v>
      </c>
      <c r="W166" s="20">
        <f t="shared" si="28"/>
        <v>0.97460131832822983</v>
      </c>
      <c r="X166" s="20">
        <f t="shared" si="29"/>
        <v>0.1715328257919253</v>
      </c>
      <c r="Y166" s="20">
        <f t="shared" si="30"/>
        <v>-15.412914578756183</v>
      </c>
      <c r="Z166" s="20">
        <f t="shared" si="31"/>
        <v>102.32589852390883</v>
      </c>
    </row>
    <row r="167" spans="2:26" x14ac:dyDescent="0.25">
      <c r="B167" s="6">
        <v>1175000000</v>
      </c>
      <c r="C167" s="20">
        <v>0.9254</v>
      </c>
      <c r="D167" s="20">
        <v>-8.2110000000000003</v>
      </c>
      <c r="E167" s="20">
        <v>6.8330000000000002</v>
      </c>
      <c r="F167" s="20">
        <v>-87.53</v>
      </c>
      <c r="G167" s="20">
        <v>1.5980000000000001</v>
      </c>
      <c r="H167" s="20">
        <v>13.14</v>
      </c>
      <c r="I167" s="20">
        <v>6.5140000000000002</v>
      </c>
      <c r="J167" s="20">
        <v>-105.6</v>
      </c>
      <c r="K167" s="20">
        <v>-0.14549999999999999</v>
      </c>
      <c r="L167" s="20">
        <v>-10.45</v>
      </c>
      <c r="M167" s="20">
        <v>-0.1452</v>
      </c>
      <c r="N167" s="20">
        <v>-95.06</v>
      </c>
      <c r="O167" s="20">
        <v>0.13150000000000001</v>
      </c>
      <c r="P167" s="20">
        <v>10.29</v>
      </c>
      <c r="Q167" s="20">
        <v>-0.1452</v>
      </c>
      <c r="R167" s="20">
        <v>-95.06</v>
      </c>
      <c r="S167" s="20">
        <f t="shared" si="24"/>
        <v>0.9685293310405777</v>
      </c>
      <c r="T167" s="20">
        <f t="shared" si="25"/>
        <v>-0.17444045047665319</v>
      </c>
      <c r="U167" s="20">
        <f t="shared" si="26"/>
        <v>-15.218640056761501</v>
      </c>
      <c r="V167" s="20">
        <f t="shared" si="27"/>
        <v>-100.00484900548285</v>
      </c>
      <c r="W167" s="20">
        <f t="shared" si="28"/>
        <v>0.98632006167645481</v>
      </c>
      <c r="X167" s="20">
        <f t="shared" si="29"/>
        <v>0.1767562054524042</v>
      </c>
      <c r="Y167" s="20">
        <f t="shared" si="30"/>
        <v>-15.218867438109712</v>
      </c>
      <c r="Z167" s="20">
        <f t="shared" si="31"/>
        <v>98.422527484850647</v>
      </c>
    </row>
    <row r="168" spans="2:26" x14ac:dyDescent="0.25">
      <c r="B168" s="6">
        <v>1202000000</v>
      </c>
      <c r="C168" s="20">
        <v>0.88980000000000004</v>
      </c>
      <c r="D168" s="20">
        <v>-7.0490000000000004</v>
      </c>
      <c r="E168" s="20">
        <v>6.8650000000000002</v>
      </c>
      <c r="F168" s="20">
        <v>-90.24</v>
      </c>
      <c r="G168" s="20">
        <v>1.8360000000000001</v>
      </c>
      <c r="H168" s="20">
        <v>13.84</v>
      </c>
      <c r="I168" s="20">
        <v>6.399</v>
      </c>
      <c r="J168" s="20">
        <v>-108.6</v>
      </c>
      <c r="K168" s="20">
        <v>-0.15210000000000001</v>
      </c>
      <c r="L168" s="20">
        <v>-10.68</v>
      </c>
      <c r="M168" s="20">
        <v>-0.15190000000000001</v>
      </c>
      <c r="N168" s="20">
        <v>-97.27</v>
      </c>
      <c r="O168" s="20">
        <v>0.24990000000000001</v>
      </c>
      <c r="P168" s="20">
        <v>10.35</v>
      </c>
      <c r="Q168" s="20">
        <v>-0.15190000000000001</v>
      </c>
      <c r="R168" s="20">
        <v>-97.27</v>
      </c>
      <c r="S168" s="20">
        <f t="shared" si="24"/>
        <v>0.96707731036929356</v>
      </c>
      <c r="T168" s="20">
        <f t="shared" si="25"/>
        <v>-0.17836440224844902</v>
      </c>
      <c r="U168" s="20">
        <f t="shared" si="26"/>
        <v>-15.027955641176989</v>
      </c>
      <c r="V168" s="20">
        <f t="shared" si="27"/>
        <v>-100.22668391729525</v>
      </c>
      <c r="W168" s="20">
        <f t="shared" si="28"/>
        <v>0.99892555676538564</v>
      </c>
      <c r="X168" s="20">
        <f t="shared" si="29"/>
        <v>0.1813554430023403</v>
      </c>
      <c r="Y168" s="20">
        <f t="shared" si="30"/>
        <v>-15.026570439008278</v>
      </c>
      <c r="Z168" s="20">
        <f t="shared" si="31"/>
        <v>94.425549665915796</v>
      </c>
    </row>
    <row r="169" spans="2:26" x14ac:dyDescent="0.25">
      <c r="B169" s="6">
        <v>1230000000</v>
      </c>
      <c r="C169" s="20">
        <v>0.87690000000000001</v>
      </c>
      <c r="D169" s="20">
        <v>-5.8310000000000004</v>
      </c>
      <c r="E169" s="20">
        <v>6.89</v>
      </c>
      <c r="F169" s="20">
        <v>-93.04</v>
      </c>
      <c r="G169" s="20">
        <v>2.0779999999999998</v>
      </c>
      <c r="H169" s="20">
        <v>14.34</v>
      </c>
      <c r="I169" s="20">
        <v>6.2729999999999997</v>
      </c>
      <c r="J169" s="20">
        <v>-111.5</v>
      </c>
      <c r="K169" s="20">
        <v>-0.159</v>
      </c>
      <c r="L169" s="20">
        <v>-10.93</v>
      </c>
      <c r="M169" s="20">
        <v>-0.15890000000000001</v>
      </c>
      <c r="N169" s="20">
        <v>-99.53</v>
      </c>
      <c r="O169" s="20">
        <v>0.37240000000000001</v>
      </c>
      <c r="P169" s="20">
        <v>10.36</v>
      </c>
      <c r="Q169" s="20">
        <v>-0.15890000000000001</v>
      </c>
      <c r="R169" s="20">
        <v>-99.53</v>
      </c>
      <c r="S169" s="20">
        <f t="shared" si="24"/>
        <v>0.96561951203952112</v>
      </c>
      <c r="T169" s="20">
        <f t="shared" si="25"/>
        <v>-0.1821066249865724</v>
      </c>
      <c r="U169" s="20">
        <f t="shared" si="26"/>
        <v>-14.828336260760613</v>
      </c>
      <c r="V169" s="20">
        <f t="shared" si="27"/>
        <v>-100.45800699632338</v>
      </c>
      <c r="W169" s="20">
        <f t="shared" si="28"/>
        <v>1.0124423672905036</v>
      </c>
      <c r="X169" s="20">
        <f t="shared" si="29"/>
        <v>0.18490480836072823</v>
      </c>
      <c r="Y169" s="20">
        <f t="shared" si="30"/>
        <v>-14.829235674829972</v>
      </c>
      <c r="Z169" s="20">
        <f t="shared" si="31"/>
        <v>90.339445794422474</v>
      </c>
    </row>
    <row r="170" spans="2:26" x14ac:dyDescent="0.25">
      <c r="B170" s="6">
        <v>1259000000</v>
      </c>
      <c r="C170" s="20">
        <v>0.88900000000000001</v>
      </c>
      <c r="D170" s="20">
        <v>-4.5780000000000003</v>
      </c>
      <c r="E170" s="20">
        <v>6.9080000000000004</v>
      </c>
      <c r="F170" s="20">
        <v>-95.91</v>
      </c>
      <c r="G170" s="20">
        <v>2.3199999999999998</v>
      </c>
      <c r="H170" s="20">
        <v>14.64</v>
      </c>
      <c r="I170" s="20">
        <v>6.1360000000000001</v>
      </c>
      <c r="J170" s="20">
        <v>-114.5</v>
      </c>
      <c r="K170" s="20">
        <v>-0.16619999999999999</v>
      </c>
      <c r="L170" s="20">
        <v>-11.18</v>
      </c>
      <c r="M170" s="20">
        <v>-0.1663</v>
      </c>
      <c r="N170" s="20">
        <v>-101.8</v>
      </c>
      <c r="O170" s="20">
        <v>0.498</v>
      </c>
      <c r="P170" s="20">
        <v>10.29</v>
      </c>
      <c r="Q170" s="20">
        <v>-0.1663</v>
      </c>
      <c r="R170" s="20">
        <v>-101.8</v>
      </c>
      <c r="S170" s="20">
        <f t="shared" si="24"/>
        <v>0.9640495950955642</v>
      </c>
      <c r="T170" s="20">
        <f t="shared" si="25"/>
        <v>-0.18617023716702494</v>
      </c>
      <c r="U170" s="20">
        <f t="shared" si="26"/>
        <v>-14.641384921778947</v>
      </c>
      <c r="V170" s="20">
        <f t="shared" si="27"/>
        <v>-100.69121557703589</v>
      </c>
      <c r="W170" s="20">
        <f t="shared" si="28"/>
        <v>1.0267895983144857</v>
      </c>
      <c r="X170" s="20">
        <f t="shared" si="29"/>
        <v>0.18771026993511433</v>
      </c>
      <c r="Y170" s="20">
        <f t="shared" si="30"/>
        <v>-14.641415290102778</v>
      </c>
      <c r="Z170" s="20">
        <f t="shared" si="31"/>
        <v>86.150332439892395</v>
      </c>
    </row>
    <row r="171" spans="2:26" x14ac:dyDescent="0.25">
      <c r="B171" s="6">
        <v>1288000000</v>
      </c>
      <c r="C171" s="20">
        <v>0.92779999999999996</v>
      </c>
      <c r="D171" s="20">
        <v>-3.319</v>
      </c>
      <c r="E171" s="20">
        <v>6.9180000000000001</v>
      </c>
      <c r="F171" s="20">
        <v>-98.86</v>
      </c>
      <c r="G171" s="20">
        <v>2.5590000000000002</v>
      </c>
      <c r="H171" s="20">
        <v>14.76</v>
      </c>
      <c r="I171" s="20">
        <v>5.9880000000000004</v>
      </c>
      <c r="J171" s="20">
        <v>-117.4</v>
      </c>
      <c r="K171" s="20">
        <v>-0.17380000000000001</v>
      </c>
      <c r="L171" s="20">
        <v>-11.43</v>
      </c>
      <c r="M171" s="20">
        <v>-0.17399999999999999</v>
      </c>
      <c r="N171" s="20">
        <v>-104.2</v>
      </c>
      <c r="O171" s="20">
        <v>0.626</v>
      </c>
      <c r="P171" s="20">
        <v>10.16</v>
      </c>
      <c r="Q171" s="20">
        <v>-0.17399999999999999</v>
      </c>
      <c r="R171" s="20">
        <v>-104.2</v>
      </c>
      <c r="S171" s="20">
        <f t="shared" si="24"/>
        <v>0.96242998127310175</v>
      </c>
      <c r="T171" s="20">
        <f t="shared" si="25"/>
        <v>-0.19021716930149368</v>
      </c>
      <c r="U171" s="20">
        <f t="shared" si="26"/>
        <v>-14.442794959580858</v>
      </c>
      <c r="V171" s="20">
        <f t="shared" si="27"/>
        <v>-100.92957408606004</v>
      </c>
      <c r="W171" s="20">
        <f t="shared" si="28"/>
        <v>1.0419769800103758</v>
      </c>
      <c r="X171" s="20">
        <f t="shared" si="29"/>
        <v>0.18917145079350967</v>
      </c>
      <c r="Y171" s="20">
        <f t="shared" si="30"/>
        <v>-14.442669427259634</v>
      </c>
      <c r="Z171" s="20">
        <f t="shared" si="31"/>
        <v>81.877721416647077</v>
      </c>
    </row>
    <row r="172" spans="2:26" x14ac:dyDescent="0.25">
      <c r="B172" s="6">
        <v>1318000000</v>
      </c>
      <c r="C172" s="20">
        <v>0.99399999999999999</v>
      </c>
      <c r="D172" s="20">
        <v>-2.0830000000000002</v>
      </c>
      <c r="E172" s="20">
        <v>6.9189999999999996</v>
      </c>
      <c r="F172" s="20">
        <v>-101.9</v>
      </c>
      <c r="G172" s="20">
        <v>2.7909999999999999</v>
      </c>
      <c r="H172" s="20">
        <v>14.71</v>
      </c>
      <c r="I172" s="20">
        <v>5.8319999999999999</v>
      </c>
      <c r="J172" s="20">
        <v>-120.3</v>
      </c>
      <c r="K172" s="20">
        <v>-0.1817</v>
      </c>
      <c r="L172" s="20">
        <v>-11.69</v>
      </c>
      <c r="M172" s="20">
        <v>-0.182</v>
      </c>
      <c r="N172" s="20">
        <v>-106.6</v>
      </c>
      <c r="O172" s="20">
        <v>0.75560000000000005</v>
      </c>
      <c r="P172" s="20">
        <v>9.9450000000000003</v>
      </c>
      <c r="Q172" s="20">
        <v>-0.182</v>
      </c>
      <c r="R172" s="20">
        <v>-106.6</v>
      </c>
      <c r="S172" s="20">
        <f t="shared" si="24"/>
        <v>0.96074983627749833</v>
      </c>
      <c r="T172" s="20">
        <f t="shared" si="25"/>
        <v>-0.19424470318233825</v>
      </c>
      <c r="U172" s="20">
        <f t="shared" si="26"/>
        <v>-14.248805641021892</v>
      </c>
      <c r="V172" s="20">
        <f t="shared" si="27"/>
        <v>-101.1727531064267</v>
      </c>
      <c r="W172" s="20">
        <f t="shared" si="28"/>
        <v>1.0578786850723103</v>
      </c>
      <c r="X172" s="20">
        <f t="shared" si="29"/>
        <v>0.18958006581001516</v>
      </c>
      <c r="Y172" s="20">
        <f t="shared" si="30"/>
        <v>-14.254142937069929</v>
      </c>
      <c r="Z172" s="20">
        <f t="shared" si="31"/>
        <v>77.48883427215317</v>
      </c>
    </row>
    <row r="173" spans="2:26" x14ac:dyDescent="0.25">
      <c r="B173" s="6">
        <v>1349000000</v>
      </c>
      <c r="C173" s="20">
        <v>1.0880000000000001</v>
      </c>
      <c r="D173" s="20">
        <v>-0.90149999999999997</v>
      </c>
      <c r="E173" s="20">
        <v>6.91</v>
      </c>
      <c r="F173" s="20">
        <v>-105</v>
      </c>
      <c r="G173" s="20">
        <v>3.0139999999999998</v>
      </c>
      <c r="H173" s="20">
        <v>14.52</v>
      </c>
      <c r="I173" s="20">
        <v>5.6680000000000001</v>
      </c>
      <c r="J173" s="20">
        <v>-123.1</v>
      </c>
      <c r="K173" s="20">
        <v>-0.18990000000000001</v>
      </c>
      <c r="L173" s="20">
        <v>-11.95</v>
      </c>
      <c r="M173" s="20">
        <v>-0.19040000000000001</v>
      </c>
      <c r="N173" s="20">
        <v>-109.1</v>
      </c>
      <c r="O173" s="20">
        <v>0.88560000000000005</v>
      </c>
      <c r="P173" s="20">
        <v>9.6549999999999994</v>
      </c>
      <c r="Q173" s="20">
        <v>-0.19040000000000001</v>
      </c>
      <c r="R173" s="20">
        <v>-109.1</v>
      </c>
      <c r="S173" s="20">
        <f t="shared" si="24"/>
        <v>0.95898587819806136</v>
      </c>
      <c r="T173" s="20">
        <f t="shared" si="25"/>
        <v>-0.19842188174279199</v>
      </c>
      <c r="U173" s="20">
        <f t="shared" si="26"/>
        <v>-14.059216248203128</v>
      </c>
      <c r="V173" s="20">
        <f t="shared" si="27"/>
        <v>-101.42368288500778</v>
      </c>
      <c r="W173" s="20">
        <f t="shared" si="28"/>
        <v>1.0744958986331081</v>
      </c>
      <c r="X173" s="20">
        <f t="shared" si="29"/>
        <v>0.18839928645230308</v>
      </c>
      <c r="Y173" s="20">
        <f t="shared" si="30"/>
        <v>-14.057119631958058</v>
      </c>
      <c r="Z173" s="20">
        <f t="shared" si="31"/>
        <v>73.02259973158273</v>
      </c>
    </row>
    <row r="174" spans="2:26" x14ac:dyDescent="0.25">
      <c r="B174" s="6">
        <v>1380000000</v>
      </c>
      <c r="C174" s="20">
        <v>1.2070000000000001</v>
      </c>
      <c r="D174" s="20">
        <v>0.19389999999999999</v>
      </c>
      <c r="E174" s="20">
        <v>6.8920000000000003</v>
      </c>
      <c r="F174" s="20">
        <v>-108.1</v>
      </c>
      <c r="G174" s="20">
        <v>3.226</v>
      </c>
      <c r="H174" s="20">
        <v>14.18</v>
      </c>
      <c r="I174" s="20">
        <v>5.4980000000000002</v>
      </c>
      <c r="J174" s="20">
        <v>-126</v>
      </c>
      <c r="K174" s="20">
        <v>-0.1986</v>
      </c>
      <c r="L174" s="20">
        <v>-12.22</v>
      </c>
      <c r="M174" s="20">
        <v>-0.19919999999999999</v>
      </c>
      <c r="N174" s="20">
        <v>-111.6</v>
      </c>
      <c r="O174" s="20">
        <v>1.0149999999999999</v>
      </c>
      <c r="P174" s="20">
        <v>9.2859999999999996</v>
      </c>
      <c r="Q174" s="20">
        <v>-0.19919999999999999</v>
      </c>
      <c r="R174" s="20">
        <v>-111.6</v>
      </c>
      <c r="S174" s="20">
        <f t="shared" si="24"/>
        <v>0.95717154364931267</v>
      </c>
      <c r="T174" s="20">
        <f t="shared" si="25"/>
        <v>-0.20258022555171151</v>
      </c>
      <c r="U174" s="20">
        <f t="shared" si="26"/>
        <v>-13.866508550447991</v>
      </c>
      <c r="V174" s="20">
        <f t="shared" si="27"/>
        <v>-101.67865774383897</v>
      </c>
      <c r="W174" s="20">
        <f t="shared" si="28"/>
        <v>1.0916525949082201</v>
      </c>
      <c r="X174" s="20">
        <f t="shared" si="29"/>
        <v>0.18571728052413536</v>
      </c>
      <c r="Y174" s="20">
        <f t="shared" si="30"/>
        <v>-13.867510612288527</v>
      </c>
      <c r="Z174" s="20">
        <f t="shared" si="31"/>
        <v>68.425415827554247</v>
      </c>
    </row>
    <row r="175" spans="2:26" x14ac:dyDescent="0.25">
      <c r="B175" s="6">
        <v>1413000000</v>
      </c>
      <c r="C175" s="20">
        <v>1.35</v>
      </c>
      <c r="D175" s="20">
        <v>1.175</v>
      </c>
      <c r="E175" s="20">
        <v>6.8630000000000004</v>
      </c>
      <c r="F175" s="20">
        <v>-111.4</v>
      </c>
      <c r="G175" s="20">
        <v>3.4260000000000002</v>
      </c>
      <c r="H175" s="20">
        <v>13.73</v>
      </c>
      <c r="I175" s="20">
        <v>5.3239999999999998</v>
      </c>
      <c r="J175" s="20">
        <v>-128.69999999999999</v>
      </c>
      <c r="K175" s="20">
        <v>-0.20760000000000001</v>
      </c>
      <c r="L175" s="20">
        <v>-12.5</v>
      </c>
      <c r="M175" s="20">
        <v>-0.2084</v>
      </c>
      <c r="N175" s="20">
        <v>-114.2</v>
      </c>
      <c r="O175" s="20">
        <v>1.143</v>
      </c>
      <c r="P175" s="20">
        <v>8.8330000000000002</v>
      </c>
      <c r="Q175" s="20">
        <v>-0.2084</v>
      </c>
      <c r="R175" s="20">
        <v>-114.2</v>
      </c>
      <c r="S175" s="20">
        <f t="shared" si="24"/>
        <v>0.95524900245528566</v>
      </c>
      <c r="T175" s="20">
        <f t="shared" si="25"/>
        <v>-0.20688120309002903</v>
      </c>
      <c r="U175" s="20">
        <f t="shared" si="26"/>
        <v>-13.678158783024406</v>
      </c>
      <c r="V175" s="20">
        <f t="shared" si="27"/>
        <v>-101.93739479927152</v>
      </c>
      <c r="W175" s="20">
        <f t="shared" si="28"/>
        <v>1.1092285146216994</v>
      </c>
      <c r="X175" s="20">
        <f t="shared" si="29"/>
        <v>0.18136484267215286</v>
      </c>
      <c r="Y175" s="20">
        <f t="shared" si="30"/>
        <v>-13.676327503564034</v>
      </c>
      <c r="Z175" s="20">
        <f t="shared" si="31"/>
        <v>63.733383719570497</v>
      </c>
    </row>
    <row r="176" spans="2:26" x14ac:dyDescent="0.25">
      <c r="B176" s="6">
        <v>1445000000</v>
      </c>
      <c r="C176" s="20">
        <v>1.514</v>
      </c>
      <c r="D176" s="20">
        <v>2.016</v>
      </c>
      <c r="E176" s="20">
        <v>6.8230000000000004</v>
      </c>
      <c r="F176" s="20">
        <v>-114.7</v>
      </c>
      <c r="G176" s="20">
        <v>3.613</v>
      </c>
      <c r="H176" s="20">
        <v>13.18</v>
      </c>
      <c r="I176" s="20">
        <v>5.1459999999999999</v>
      </c>
      <c r="J176" s="20">
        <v>-131.5</v>
      </c>
      <c r="K176" s="20">
        <v>-0.217</v>
      </c>
      <c r="L176" s="20">
        <v>-12.78</v>
      </c>
      <c r="M176" s="20">
        <v>-0.218</v>
      </c>
      <c r="N176" s="20">
        <v>-116.9</v>
      </c>
      <c r="O176" s="20">
        <v>1.2689999999999999</v>
      </c>
      <c r="P176" s="20">
        <v>8.2959999999999994</v>
      </c>
      <c r="Q176" s="20">
        <v>-0.218</v>
      </c>
      <c r="R176" s="20">
        <v>-116.9</v>
      </c>
      <c r="S176" s="20">
        <f t="shared" si="24"/>
        <v>0.95323836509403725</v>
      </c>
      <c r="T176" s="20">
        <f t="shared" si="25"/>
        <v>-0.21132785776783017</v>
      </c>
      <c r="U176" s="20">
        <f t="shared" si="26"/>
        <v>-13.486979068509847</v>
      </c>
      <c r="V176" s="20">
        <f t="shared" si="27"/>
        <v>-102.20574082637334</v>
      </c>
      <c r="W176" s="20">
        <f t="shared" si="28"/>
        <v>1.127115768467861</v>
      </c>
      <c r="X176" s="20">
        <f t="shared" si="29"/>
        <v>0.17515152897977809</v>
      </c>
      <c r="Y176" s="20">
        <f t="shared" si="30"/>
        <v>-13.484886680996444</v>
      </c>
      <c r="Z176" s="20">
        <f t="shared" si="31"/>
        <v>58.941190163012976</v>
      </c>
    </row>
    <row r="177" spans="2:26" x14ac:dyDescent="0.25">
      <c r="B177" s="6">
        <v>1479000000</v>
      </c>
      <c r="C177" s="20">
        <v>1.6950000000000001</v>
      </c>
      <c r="D177" s="20">
        <v>2.6989999999999998</v>
      </c>
      <c r="E177" s="20">
        <v>6.7709999999999999</v>
      </c>
      <c r="F177" s="20">
        <v>-118</v>
      </c>
      <c r="G177" s="20">
        <v>3.7869999999999999</v>
      </c>
      <c r="H177" s="20">
        <v>12.54</v>
      </c>
      <c r="I177" s="20">
        <v>4.9669999999999996</v>
      </c>
      <c r="J177" s="20">
        <v>-134.19999999999999</v>
      </c>
      <c r="K177" s="20">
        <v>-0.22689999999999999</v>
      </c>
      <c r="L177" s="20">
        <v>-13.07</v>
      </c>
      <c r="M177" s="20">
        <v>-0.22800000000000001</v>
      </c>
      <c r="N177" s="20">
        <v>-119.6</v>
      </c>
      <c r="O177" s="20">
        <v>1.39</v>
      </c>
      <c r="P177" s="20">
        <v>7.673</v>
      </c>
      <c r="Q177" s="20">
        <v>-0.22800000000000001</v>
      </c>
      <c r="R177" s="20">
        <v>-119.6</v>
      </c>
      <c r="S177" s="20">
        <f t="shared" si="24"/>
        <v>0.95116432237904391</v>
      </c>
      <c r="T177" s="20">
        <f t="shared" si="25"/>
        <v>-0.21575010282807919</v>
      </c>
      <c r="U177" s="20">
        <f t="shared" si="26"/>
        <v>-13.293264293723636</v>
      </c>
      <c r="V177" s="20">
        <f t="shared" si="27"/>
        <v>-102.47709580982426</v>
      </c>
      <c r="W177" s="20">
        <f t="shared" si="28"/>
        <v>1.1452005273743529</v>
      </c>
      <c r="X177" s="20">
        <f t="shared" si="29"/>
        <v>0.16698503849707777</v>
      </c>
      <c r="Y177" s="20">
        <f t="shared" si="30"/>
        <v>-13.294157824414087</v>
      </c>
      <c r="Z177" s="20">
        <f t="shared" si="31"/>
        <v>54.029828667602906</v>
      </c>
    </row>
    <row r="178" spans="2:26" x14ac:dyDescent="0.25">
      <c r="B178" s="6">
        <v>1514000000</v>
      </c>
      <c r="C178" s="20">
        <v>1.8879999999999999</v>
      </c>
      <c r="D178" s="20">
        <v>3.2109999999999999</v>
      </c>
      <c r="E178" s="20">
        <v>6.7080000000000002</v>
      </c>
      <c r="F178" s="20">
        <v>-121.3</v>
      </c>
      <c r="G178" s="20">
        <v>3.9470000000000001</v>
      </c>
      <c r="H178" s="20">
        <v>11.82</v>
      </c>
      <c r="I178" s="20">
        <v>4.7880000000000003</v>
      </c>
      <c r="J178" s="20">
        <v>-136.80000000000001</v>
      </c>
      <c r="K178" s="20">
        <v>-0.23719999999999999</v>
      </c>
      <c r="L178" s="20">
        <v>-13.37</v>
      </c>
      <c r="M178" s="20">
        <v>-0.23849999999999999</v>
      </c>
      <c r="N178" s="20">
        <v>-122.4</v>
      </c>
      <c r="O178" s="20">
        <v>1.5069999999999999</v>
      </c>
      <c r="P178" s="20">
        <v>6.9640000000000004</v>
      </c>
      <c r="Q178" s="20">
        <v>-0.23849999999999999</v>
      </c>
      <c r="R178" s="20">
        <v>-122.4</v>
      </c>
      <c r="S178" s="20">
        <f t="shared" si="24"/>
        <v>0.94897789174552982</v>
      </c>
      <c r="T178" s="20">
        <f t="shared" si="25"/>
        <v>-0.22031034555577175</v>
      </c>
      <c r="U178" s="20">
        <f t="shared" si="26"/>
        <v>-13.103978888239743</v>
      </c>
      <c r="V178" s="20">
        <f t="shared" si="27"/>
        <v>-102.75414649643254</v>
      </c>
      <c r="W178" s="20">
        <f t="shared" si="28"/>
        <v>1.1630380234069635</v>
      </c>
      <c r="X178" s="20">
        <f t="shared" si="29"/>
        <v>0.15669085807273495</v>
      </c>
      <c r="Y178" s="20">
        <f t="shared" si="30"/>
        <v>-13.100947621442913</v>
      </c>
      <c r="Z178" s="20">
        <f t="shared" si="31"/>
        <v>48.991666095918447</v>
      </c>
    </row>
    <row r="179" spans="2:26" x14ac:dyDescent="0.25">
      <c r="B179" s="6">
        <v>1549000000</v>
      </c>
      <c r="C179" s="20">
        <v>2.089</v>
      </c>
      <c r="D179" s="20">
        <v>3.5449999999999999</v>
      </c>
      <c r="E179" s="20">
        <v>6.633</v>
      </c>
      <c r="F179" s="20">
        <v>-124.7</v>
      </c>
      <c r="G179" s="20">
        <v>4.0940000000000003</v>
      </c>
      <c r="H179" s="20">
        <v>11.04</v>
      </c>
      <c r="I179" s="20">
        <v>4.6109999999999998</v>
      </c>
      <c r="J179" s="20">
        <v>-139.4</v>
      </c>
      <c r="K179" s="20">
        <v>-0.248</v>
      </c>
      <c r="L179" s="20">
        <v>-13.67</v>
      </c>
      <c r="M179" s="20">
        <v>-0.2495</v>
      </c>
      <c r="N179" s="20">
        <v>-125.2</v>
      </c>
      <c r="O179" s="20">
        <v>1.617</v>
      </c>
      <c r="P179" s="20">
        <v>6.1680000000000001</v>
      </c>
      <c r="Q179" s="20">
        <v>-0.2495</v>
      </c>
      <c r="R179" s="20">
        <v>-125.2</v>
      </c>
      <c r="S179" s="20">
        <f t="shared" si="24"/>
        <v>0.94668806814852346</v>
      </c>
      <c r="T179" s="20">
        <f t="shared" si="25"/>
        <v>-0.22500915834013094</v>
      </c>
      <c r="U179" s="20">
        <f t="shared" si="26"/>
        <v>-12.912400925052376</v>
      </c>
      <c r="V179" s="20">
        <f t="shared" si="27"/>
        <v>-103.03936506962582</v>
      </c>
      <c r="W179" s="20">
        <f t="shared" si="28"/>
        <v>1.1806852226588005</v>
      </c>
      <c r="X179" s="20">
        <f t="shared" si="29"/>
        <v>0.14421694410317104</v>
      </c>
      <c r="Y179" s="20">
        <f t="shared" si="30"/>
        <v>-12.912951413486301</v>
      </c>
      <c r="Z179" s="20">
        <f t="shared" si="31"/>
        <v>43.862730127064417</v>
      </c>
    </row>
    <row r="180" spans="2:26" x14ac:dyDescent="0.25">
      <c r="B180" s="6">
        <v>1585000000</v>
      </c>
      <c r="C180" s="20">
        <v>2.294</v>
      </c>
      <c r="D180" s="20">
        <v>3.698</v>
      </c>
      <c r="E180" s="20">
        <v>6.548</v>
      </c>
      <c r="F180" s="20">
        <v>-128.19999999999999</v>
      </c>
      <c r="G180" s="20">
        <v>4.2279999999999998</v>
      </c>
      <c r="H180" s="20">
        <v>10.199999999999999</v>
      </c>
      <c r="I180" s="20">
        <v>4.4370000000000003</v>
      </c>
      <c r="J180" s="20">
        <v>-141.9</v>
      </c>
      <c r="K180" s="20">
        <v>-0.25929999999999997</v>
      </c>
      <c r="L180" s="20">
        <v>-13.97</v>
      </c>
      <c r="M180" s="20">
        <v>-0.26090000000000002</v>
      </c>
      <c r="N180" s="20">
        <v>-128.1</v>
      </c>
      <c r="O180" s="20">
        <v>1.72</v>
      </c>
      <c r="P180" s="20">
        <v>5.2859999999999996</v>
      </c>
      <c r="Q180" s="20">
        <v>-0.26090000000000002</v>
      </c>
      <c r="R180" s="20">
        <v>-128.1</v>
      </c>
      <c r="S180" s="20">
        <f t="shared" si="24"/>
        <v>0.94432205486978393</v>
      </c>
      <c r="T180" s="20">
        <f t="shared" si="25"/>
        <v>-0.22967714120960173</v>
      </c>
      <c r="U180" s="20">
        <f t="shared" si="26"/>
        <v>-12.718793918633722</v>
      </c>
      <c r="V180" s="20">
        <f t="shared" si="27"/>
        <v>-103.3294231160599</v>
      </c>
      <c r="W180" s="20">
        <f t="shared" si="28"/>
        <v>1.1976464166556133</v>
      </c>
      <c r="X180" s="20">
        <f t="shared" si="29"/>
        <v>0.12942929136558598</v>
      </c>
      <c r="Y180" s="20">
        <f t="shared" si="30"/>
        <v>-12.720874201347872</v>
      </c>
      <c r="Z180" s="20">
        <f t="shared" si="31"/>
        <v>38.595705092507828</v>
      </c>
    </row>
    <row r="181" spans="2:26" x14ac:dyDescent="0.25">
      <c r="B181" s="6">
        <v>1622000000</v>
      </c>
      <c r="C181" s="6">
        <v>2.4990000000000001</v>
      </c>
      <c r="D181" s="6">
        <v>3.677</v>
      </c>
      <c r="E181" s="6">
        <v>6.4509999999999996</v>
      </c>
      <c r="F181" s="6">
        <v>-131.6</v>
      </c>
      <c r="G181" s="6">
        <v>4.3490000000000002</v>
      </c>
      <c r="H181" s="6">
        <v>9.3089999999999993</v>
      </c>
      <c r="I181" s="6">
        <v>4.2670000000000003</v>
      </c>
      <c r="J181" s="6">
        <v>-144.4</v>
      </c>
      <c r="K181" s="6">
        <v>-0.27110000000000001</v>
      </c>
      <c r="L181" s="6">
        <v>-14.29</v>
      </c>
      <c r="M181" s="6">
        <v>-0.27289999999999998</v>
      </c>
      <c r="N181" s="6">
        <v>-131.1</v>
      </c>
      <c r="O181" s="6">
        <v>1.8129999999999999</v>
      </c>
      <c r="P181" s="6">
        <v>4.3179999999999996</v>
      </c>
      <c r="Q181" s="6">
        <v>-0.27289999999999998</v>
      </c>
      <c r="R181" s="6">
        <v>-131.1</v>
      </c>
      <c r="S181" s="20">
        <f t="shared" si="24"/>
        <v>0.94188038247477524</v>
      </c>
      <c r="T181" s="20">
        <f t="shared" si="25"/>
        <v>-0.23431339810941354</v>
      </c>
      <c r="U181" s="20">
        <f t="shared" si="26"/>
        <v>-12.529642039447991</v>
      </c>
      <c r="V181" s="20">
        <f t="shared" si="27"/>
        <v>-103.62667399158808</v>
      </c>
      <c r="W181" s="20">
        <f t="shared" si="28"/>
        <v>1.213805527318548</v>
      </c>
      <c r="X181" s="20">
        <f t="shared" si="29"/>
        <v>0.11230220005836332</v>
      </c>
      <c r="Y181" s="20">
        <f t="shared" si="30"/>
        <v>-12.532409205939661</v>
      </c>
      <c r="Z181" s="20">
        <f t="shared" si="31"/>
        <v>33.218892869546018</v>
      </c>
    </row>
    <row r="182" spans="2:26" x14ac:dyDescent="0.25">
      <c r="B182" s="6">
        <v>1660000000</v>
      </c>
      <c r="C182" s="6">
        <v>2.7010000000000001</v>
      </c>
      <c r="D182" s="6">
        <v>3.4870000000000001</v>
      </c>
      <c r="E182" s="6">
        <v>6.3440000000000003</v>
      </c>
      <c r="F182" s="6">
        <v>-135.1</v>
      </c>
      <c r="G182" s="6">
        <v>4.4569999999999999</v>
      </c>
      <c r="H182" s="6">
        <v>8.3789999999999996</v>
      </c>
      <c r="I182" s="6">
        <v>4.1050000000000004</v>
      </c>
      <c r="J182" s="6">
        <v>-146.9</v>
      </c>
      <c r="K182" s="6">
        <v>-0.28339999999999999</v>
      </c>
      <c r="L182" s="6">
        <v>-14.61</v>
      </c>
      <c r="M182" s="6">
        <v>-0.28539999999999999</v>
      </c>
      <c r="N182" s="6">
        <v>-134.1</v>
      </c>
      <c r="O182" s="6">
        <v>1.897</v>
      </c>
      <c r="P182" s="6">
        <v>3.2650000000000001</v>
      </c>
      <c r="Q182" s="6">
        <v>-0.28539999999999999</v>
      </c>
      <c r="R182" s="6">
        <v>-134.1</v>
      </c>
      <c r="S182" s="20">
        <f t="shared" si="24"/>
        <v>0.93928014356737499</v>
      </c>
      <c r="T182" s="20">
        <f t="shared" si="25"/>
        <v>-0.23924492761113025</v>
      </c>
      <c r="U182" s="20">
        <f t="shared" si="26"/>
        <v>-12.344755500663886</v>
      </c>
      <c r="V182" s="20">
        <f t="shared" si="27"/>
        <v>-103.93062126466334</v>
      </c>
      <c r="W182" s="20">
        <f t="shared" si="28"/>
        <v>1.2286141558741859</v>
      </c>
      <c r="X182" s="20">
        <f t="shared" si="29"/>
        <v>9.2768134306858208E-2</v>
      </c>
      <c r="Y182" s="20">
        <f t="shared" si="30"/>
        <v>-12.341483229500056</v>
      </c>
      <c r="Z182" s="20">
        <f t="shared" si="31"/>
        <v>27.710878479251267</v>
      </c>
    </row>
    <row r="183" spans="2:26" x14ac:dyDescent="0.25">
      <c r="B183" s="6">
        <v>1698000000</v>
      </c>
      <c r="C183" s="6">
        <v>2.8959999999999999</v>
      </c>
      <c r="D183" s="6">
        <v>3.14</v>
      </c>
      <c r="E183" s="6">
        <v>6.2279999999999998</v>
      </c>
      <c r="F183" s="6">
        <v>-138.5</v>
      </c>
      <c r="G183" s="6">
        <v>4.5540000000000003</v>
      </c>
      <c r="H183" s="6">
        <v>7.4119999999999999</v>
      </c>
      <c r="I183" s="6">
        <v>3.9510000000000001</v>
      </c>
      <c r="J183" s="6">
        <v>-149.4</v>
      </c>
      <c r="K183" s="6">
        <v>-0.29630000000000001</v>
      </c>
      <c r="L183" s="6">
        <v>-14.93</v>
      </c>
      <c r="M183" s="6">
        <v>-0.2984</v>
      </c>
      <c r="N183" s="6">
        <v>-137.19999999999999</v>
      </c>
      <c r="O183" s="6">
        <v>1.968</v>
      </c>
      <c r="P183" s="6">
        <v>2.13</v>
      </c>
      <c r="Q183" s="6">
        <v>-0.2984</v>
      </c>
      <c r="R183" s="6">
        <v>-137.19999999999999</v>
      </c>
      <c r="S183" s="20">
        <f t="shared" si="24"/>
        <v>0.93660205322955037</v>
      </c>
      <c r="T183" s="20">
        <f t="shared" si="25"/>
        <v>-0.24414112826479245</v>
      </c>
      <c r="U183" s="20">
        <f t="shared" si="26"/>
        <v>-12.152042030075961</v>
      </c>
      <c r="V183" s="20">
        <f t="shared" si="27"/>
        <v>-104.24086232044651</v>
      </c>
      <c r="W183" s="20">
        <f t="shared" si="28"/>
        <v>1.2420654401447082</v>
      </c>
      <c r="X183" s="20">
        <f t="shared" si="29"/>
        <v>7.0855812274300295E-2</v>
      </c>
      <c r="Y183" s="20">
        <f t="shared" si="30"/>
        <v>-12.155941368029438</v>
      </c>
      <c r="Z183" s="20">
        <f t="shared" si="31"/>
        <v>22.086563159815654</v>
      </c>
    </row>
    <row r="184" spans="2:26" x14ac:dyDescent="0.25">
      <c r="B184" s="6">
        <v>1738000000</v>
      </c>
      <c r="C184" s="6">
        <v>3.0830000000000002</v>
      </c>
      <c r="D184" s="6">
        <v>2.649</v>
      </c>
      <c r="E184" s="6">
        <v>6.1040000000000001</v>
      </c>
      <c r="F184" s="6">
        <v>-142</v>
      </c>
      <c r="G184" s="6">
        <v>4.6390000000000002</v>
      </c>
      <c r="H184" s="6">
        <v>6.4119999999999999</v>
      </c>
      <c r="I184" s="6">
        <v>3.806</v>
      </c>
      <c r="J184" s="6">
        <v>-151.80000000000001</v>
      </c>
      <c r="K184" s="6">
        <v>-0.30980000000000002</v>
      </c>
      <c r="L184" s="6">
        <v>-15.27</v>
      </c>
      <c r="M184" s="6">
        <v>-0.31209999999999999</v>
      </c>
      <c r="N184" s="6">
        <v>-140.4</v>
      </c>
      <c r="O184" s="6">
        <v>2.0259999999999998</v>
      </c>
      <c r="P184" s="6">
        <v>0.91539999999999999</v>
      </c>
      <c r="Q184" s="6">
        <v>-0.31209999999999999</v>
      </c>
      <c r="R184" s="6">
        <v>-140.4</v>
      </c>
      <c r="S184" s="20">
        <f t="shared" si="24"/>
        <v>0.93383597829672316</v>
      </c>
      <c r="T184" s="20">
        <f t="shared" si="25"/>
        <v>-0.24899818729636916</v>
      </c>
      <c r="U184" s="20">
        <f t="shared" si="26"/>
        <v>-11.963777324989618</v>
      </c>
      <c r="V184" s="20">
        <f t="shared" si="27"/>
        <v>-104.55690453002113</v>
      </c>
      <c r="W184" s="20">
        <f t="shared" si="28"/>
        <v>1.2534292618832117</v>
      </c>
      <c r="X184" s="20">
        <f t="shared" si="29"/>
        <v>4.661835369653259E-2</v>
      </c>
      <c r="Y184" s="20">
        <f t="shared" si="30"/>
        <v>-11.964321162010085</v>
      </c>
      <c r="Z184" s="20">
        <f t="shared" si="31"/>
        <v>16.315463742239622</v>
      </c>
    </row>
    <row r="185" spans="2:26" x14ac:dyDescent="0.25">
      <c r="B185" s="6">
        <v>1778000000</v>
      </c>
      <c r="C185" s="6">
        <v>3.258</v>
      </c>
      <c r="D185" s="6">
        <v>2.0270000000000001</v>
      </c>
      <c r="E185" s="6">
        <v>5.9720000000000004</v>
      </c>
      <c r="F185" s="6">
        <v>-145.4</v>
      </c>
      <c r="G185" s="6">
        <v>4.7130000000000001</v>
      </c>
      <c r="H185" s="6">
        <v>5.3810000000000002</v>
      </c>
      <c r="I185" s="6">
        <v>3.6720000000000002</v>
      </c>
      <c r="J185" s="6">
        <v>-154.19999999999999</v>
      </c>
      <c r="K185" s="6">
        <v>-0.32400000000000001</v>
      </c>
      <c r="L185" s="6">
        <v>-15.61</v>
      </c>
      <c r="M185" s="6">
        <v>-0.32629999999999998</v>
      </c>
      <c r="N185" s="6">
        <v>-143.69999999999999</v>
      </c>
      <c r="O185" s="6">
        <v>2.069</v>
      </c>
      <c r="P185" s="6">
        <v>-0.37619999999999998</v>
      </c>
      <c r="Q185" s="6">
        <v>-0.32629999999999998</v>
      </c>
      <c r="R185" s="6">
        <v>-143.69999999999999</v>
      </c>
      <c r="S185" s="20">
        <f t="shared" si="24"/>
        <v>0.93089399784822857</v>
      </c>
      <c r="T185" s="20">
        <f t="shared" si="25"/>
        <v>-0.25413996208309286</v>
      </c>
      <c r="U185" s="20">
        <f t="shared" si="26"/>
        <v>-11.77977309052266</v>
      </c>
      <c r="V185" s="20">
        <f t="shared" si="27"/>
        <v>-104.88081425510651</v>
      </c>
      <c r="W185" s="20">
        <f t="shared" si="28"/>
        <v>1.262538322694627</v>
      </c>
      <c r="X185" s="20">
        <f t="shared" si="29"/>
        <v>2.0172967992740105E-2</v>
      </c>
      <c r="Y185" s="20">
        <f t="shared" si="30"/>
        <v>-11.778341334462009</v>
      </c>
      <c r="Z185" s="20">
        <f t="shared" si="31"/>
        <v>10.423046486470712</v>
      </c>
    </row>
    <row r="186" spans="2:26" x14ac:dyDescent="0.25">
      <c r="B186" s="6">
        <v>1820000000</v>
      </c>
      <c r="C186" s="6">
        <v>3.42</v>
      </c>
      <c r="D186" s="6">
        <v>1.29</v>
      </c>
      <c r="E186" s="6">
        <v>5.8339999999999996</v>
      </c>
      <c r="F186" s="6">
        <v>-148.80000000000001</v>
      </c>
      <c r="G186" s="6">
        <v>4.7750000000000004</v>
      </c>
      <c r="H186" s="6">
        <v>4.319</v>
      </c>
      <c r="I186" s="6">
        <v>3.552</v>
      </c>
      <c r="J186" s="6">
        <v>-156.6</v>
      </c>
      <c r="K186" s="6">
        <v>-0.3387</v>
      </c>
      <c r="L186" s="6">
        <v>-15.95</v>
      </c>
      <c r="M186" s="6">
        <v>-0.3412</v>
      </c>
      <c r="N186" s="6">
        <v>-147</v>
      </c>
      <c r="O186" s="6">
        <v>2.0950000000000002</v>
      </c>
      <c r="P186" s="6">
        <v>-1.7410000000000001</v>
      </c>
      <c r="Q186" s="6">
        <v>-0.3412</v>
      </c>
      <c r="R186" s="6">
        <v>-147</v>
      </c>
      <c r="S186" s="20">
        <f t="shared" si="24"/>
        <v>0.92785139478315404</v>
      </c>
      <c r="T186" s="20">
        <f t="shared" si="25"/>
        <v>-0.25923533752003075</v>
      </c>
      <c r="U186" s="20">
        <f t="shared" si="26"/>
        <v>-11.588736351316729</v>
      </c>
      <c r="V186" s="20">
        <f t="shared" si="27"/>
        <v>-105.21211406986049</v>
      </c>
      <c r="W186" s="20">
        <f t="shared" si="28"/>
        <v>1.2689386875554269</v>
      </c>
      <c r="X186" s="20">
        <f t="shared" si="29"/>
        <v>-8.3318806120506635E-3</v>
      </c>
      <c r="Y186" s="20">
        <f t="shared" si="30"/>
        <v>-11.590580062758189</v>
      </c>
      <c r="Z186" s="20">
        <f t="shared" si="31"/>
        <v>4.3938699392986278</v>
      </c>
    </row>
    <row r="187" spans="2:26" x14ac:dyDescent="0.25">
      <c r="B187" s="6">
        <v>1862000000</v>
      </c>
      <c r="C187" s="6">
        <v>3.569</v>
      </c>
      <c r="D187" s="6">
        <v>0.45019999999999999</v>
      </c>
      <c r="E187" s="6">
        <v>5.6920000000000002</v>
      </c>
      <c r="F187" s="6">
        <v>-152.19999999999999</v>
      </c>
      <c r="G187" s="6">
        <v>4.827</v>
      </c>
      <c r="H187" s="6">
        <v>3.2280000000000002</v>
      </c>
      <c r="I187" s="6">
        <v>3.4460000000000002</v>
      </c>
      <c r="J187" s="6">
        <v>-158.9</v>
      </c>
      <c r="K187" s="6">
        <v>-0.35420000000000001</v>
      </c>
      <c r="L187" s="6">
        <v>-16.309999999999999</v>
      </c>
      <c r="M187" s="6">
        <v>-0.35670000000000002</v>
      </c>
      <c r="N187" s="6">
        <v>-150.4</v>
      </c>
      <c r="O187" s="6">
        <v>2.1019999999999999</v>
      </c>
      <c r="P187" s="6">
        <v>-3.173</v>
      </c>
      <c r="Q187" s="6">
        <v>-0.35670000000000002</v>
      </c>
      <c r="R187" s="6">
        <v>-150.4</v>
      </c>
      <c r="S187" s="20">
        <f t="shared" si="24"/>
        <v>0.92473039500202803</v>
      </c>
      <c r="T187" s="20">
        <f t="shared" si="25"/>
        <v>-0.2642890603850197</v>
      </c>
      <c r="U187" s="20">
        <f t="shared" si="26"/>
        <v>-11.4021116020502</v>
      </c>
      <c r="V187" s="20">
        <f t="shared" si="27"/>
        <v>-105.55258469096447</v>
      </c>
      <c r="W187" s="20">
        <f t="shared" si="28"/>
        <v>1.2721826627432447</v>
      </c>
      <c r="X187" s="20">
        <f t="shared" si="29"/>
        <v>-3.866867620099098E-2</v>
      </c>
      <c r="Y187" s="20">
        <f t="shared" si="30"/>
        <v>-11.40276802949294</v>
      </c>
      <c r="Z187" s="20">
        <f t="shared" si="31"/>
        <v>-1.7744897800202766</v>
      </c>
    </row>
    <row r="188" spans="2:26" x14ac:dyDescent="0.25">
      <c r="B188" s="6">
        <v>1905000000</v>
      </c>
      <c r="C188" s="6">
        <v>3.7040000000000002</v>
      </c>
      <c r="D188" s="6">
        <v>-0.47770000000000001</v>
      </c>
      <c r="E188" s="6">
        <v>5.5460000000000003</v>
      </c>
      <c r="F188" s="6">
        <v>-155.6</v>
      </c>
      <c r="G188" s="6">
        <v>4.867</v>
      </c>
      <c r="H188" s="6">
        <v>2.1070000000000002</v>
      </c>
      <c r="I188" s="6">
        <v>3.3559999999999999</v>
      </c>
      <c r="J188" s="6">
        <v>-161.30000000000001</v>
      </c>
      <c r="K188" s="6">
        <v>-0.37030000000000002</v>
      </c>
      <c r="L188" s="6">
        <v>-16.670000000000002</v>
      </c>
      <c r="M188" s="6">
        <v>-0.37290000000000001</v>
      </c>
      <c r="N188" s="6">
        <v>-153.9</v>
      </c>
      <c r="O188" s="6">
        <v>2.0880000000000001</v>
      </c>
      <c r="P188" s="6">
        <v>-4.6669999999999998</v>
      </c>
      <c r="Q188" s="6">
        <v>-0.37290000000000001</v>
      </c>
      <c r="R188" s="6">
        <v>-153.9</v>
      </c>
      <c r="S188" s="20">
        <f t="shared" si="24"/>
        <v>0.92140585551580911</v>
      </c>
      <c r="T188" s="20">
        <f t="shared" si="25"/>
        <v>-0.26961250376444051</v>
      </c>
      <c r="U188" s="20">
        <f t="shared" si="26"/>
        <v>-11.219712541153129</v>
      </c>
      <c r="V188" s="20">
        <f t="shared" si="27"/>
        <v>-105.89696922613514</v>
      </c>
      <c r="W188" s="20">
        <f t="shared" si="28"/>
        <v>1.271843567142575</v>
      </c>
      <c r="X188" s="20">
        <f t="shared" si="29"/>
        <v>-7.0505894984672274E-2</v>
      </c>
      <c r="Y188" s="20">
        <f t="shared" si="30"/>
        <v>-11.216007639694499</v>
      </c>
      <c r="Z188" s="20">
        <f t="shared" si="31"/>
        <v>-8.0858345932488813</v>
      </c>
    </row>
    <row r="189" spans="2:26" x14ac:dyDescent="0.25">
      <c r="B189" s="6">
        <v>1950000000</v>
      </c>
      <c r="C189" s="6">
        <v>3.823</v>
      </c>
      <c r="D189" s="6">
        <v>-1.4810000000000001</v>
      </c>
      <c r="E189" s="6">
        <v>5.399</v>
      </c>
      <c r="F189" s="6">
        <v>-159</v>
      </c>
      <c r="G189" s="6">
        <v>4.8970000000000002</v>
      </c>
      <c r="H189" s="6">
        <v>0.95369999999999999</v>
      </c>
      <c r="I189" s="6">
        <v>3.2850000000000001</v>
      </c>
      <c r="J189" s="6">
        <v>-163.69999999999999</v>
      </c>
      <c r="K189" s="6">
        <v>-0.38719999999999999</v>
      </c>
      <c r="L189" s="6">
        <v>-17.04</v>
      </c>
      <c r="M189" s="6">
        <v>-0.38979999999999998</v>
      </c>
      <c r="N189" s="6">
        <v>-157.4</v>
      </c>
      <c r="O189" s="6">
        <v>2.0510000000000002</v>
      </c>
      <c r="P189" s="6">
        <v>-6.2149999999999999</v>
      </c>
      <c r="Q189" s="6">
        <v>-0.38979999999999998</v>
      </c>
      <c r="R189" s="6">
        <v>-157.4</v>
      </c>
      <c r="S189" s="20">
        <f t="shared" ref="S189:S220" si="32">10^(K188/20)*COS(PI()/180*L188)</f>
        <v>0.91799050584381503</v>
      </c>
      <c r="T189" s="20">
        <f t="shared" ref="T189:T220" si="33">10^(K188/20)*SIN(PI()/180*L188)</f>
        <v>-0.27488651055797991</v>
      </c>
      <c r="U189" s="20">
        <f t="shared" ref="U189:U220" si="34">10*LOG((S188-1)^2+T188^2)</f>
        <v>-11.030994930844631</v>
      </c>
      <c r="V189" s="20">
        <f t="shared" ref="V189:V220" si="35">180/PI()*ATAN2((S188-1),T188)</f>
        <v>-106.25181493363127</v>
      </c>
      <c r="W189" s="20">
        <f t="shared" ref="W189:W220" si="36">10^(O188/20)*COS(PI()/180*P188)</f>
        <v>1.2675283076403563</v>
      </c>
      <c r="X189" s="20">
        <f t="shared" ref="X189:X220" si="37">10^(O188/20)*SIN(PI()/180*P188)</f>
        <v>-0.10347485264655128</v>
      </c>
      <c r="Y189" s="20">
        <f t="shared" ref="Y189:Y220" si="38">10*LOG((W188-1)^2+X188^2)</f>
        <v>-11.03088124899627</v>
      </c>
      <c r="Z189" s="20">
        <f t="shared" ref="Z189:Z220" si="39">180/PI()*ATAN2((W188-1),X188)</f>
        <v>-14.539971538448135</v>
      </c>
    </row>
    <row r="190" spans="2:26" x14ac:dyDescent="0.25">
      <c r="B190" s="6">
        <v>1995000000</v>
      </c>
      <c r="C190" s="6">
        <v>3.927</v>
      </c>
      <c r="D190" s="6">
        <v>-2.5489999999999999</v>
      </c>
      <c r="E190" s="6">
        <v>5.2510000000000003</v>
      </c>
      <c r="F190" s="6">
        <v>-162.4</v>
      </c>
      <c r="G190" s="6">
        <v>4.915</v>
      </c>
      <c r="H190" s="6">
        <v>-0.23380000000000001</v>
      </c>
      <c r="I190" s="6">
        <v>3.2330000000000001</v>
      </c>
      <c r="J190" s="6">
        <v>-166.1</v>
      </c>
      <c r="K190" s="6">
        <v>-0.40479999999999999</v>
      </c>
      <c r="L190" s="6">
        <v>-17.41</v>
      </c>
      <c r="M190" s="6">
        <v>-0.40739999999999998</v>
      </c>
      <c r="N190" s="6">
        <v>-161.1</v>
      </c>
      <c r="O190" s="6">
        <v>1.9890000000000001</v>
      </c>
      <c r="P190" s="6">
        <v>-7.8079999999999998</v>
      </c>
      <c r="Q190" s="6">
        <v>-0.40739999999999998</v>
      </c>
      <c r="R190" s="6">
        <v>-161.1</v>
      </c>
      <c r="S190" s="20">
        <f t="shared" si="32"/>
        <v>0.91441534190204588</v>
      </c>
      <c r="T190" s="20">
        <f t="shared" si="33"/>
        <v>-0.28026302748651338</v>
      </c>
      <c r="U190" s="20">
        <f t="shared" si="34"/>
        <v>-10.846626970432499</v>
      </c>
      <c r="V190" s="20">
        <f t="shared" si="35"/>
        <v>-106.61191841141179</v>
      </c>
      <c r="W190" s="20">
        <f t="shared" si="36"/>
        <v>1.2588963412306742</v>
      </c>
      <c r="X190" s="20">
        <f t="shared" si="37"/>
        <v>-0.13709338468447671</v>
      </c>
      <c r="Y190" s="20">
        <f t="shared" si="38"/>
        <v>-10.847139483865396</v>
      </c>
      <c r="Z190" s="20">
        <f t="shared" si="39"/>
        <v>-21.145520820856351</v>
      </c>
    </row>
    <row r="191" spans="2:26" x14ac:dyDescent="0.25">
      <c r="B191" s="6">
        <v>2042000000</v>
      </c>
      <c r="C191" s="6">
        <v>4.016</v>
      </c>
      <c r="D191" s="6">
        <v>-3.67</v>
      </c>
      <c r="E191" s="6">
        <v>5.1050000000000004</v>
      </c>
      <c r="F191" s="6">
        <v>-165.7</v>
      </c>
      <c r="G191" s="6">
        <v>4.9210000000000003</v>
      </c>
      <c r="H191" s="6">
        <v>-1.4590000000000001</v>
      </c>
      <c r="I191" s="6">
        <v>3.202</v>
      </c>
      <c r="J191" s="6">
        <v>-168.6</v>
      </c>
      <c r="K191" s="6">
        <v>-0.42320000000000002</v>
      </c>
      <c r="L191" s="6">
        <v>-17.79</v>
      </c>
      <c r="M191" s="6">
        <v>-0.42580000000000001</v>
      </c>
      <c r="N191" s="6">
        <v>-164.8</v>
      </c>
      <c r="O191" s="6">
        <v>1.899</v>
      </c>
      <c r="P191" s="6">
        <v>-9.4350000000000005</v>
      </c>
      <c r="Q191" s="6">
        <v>-0.42580000000000001</v>
      </c>
      <c r="R191" s="6">
        <v>-164.8</v>
      </c>
      <c r="S191" s="20">
        <f t="shared" si="32"/>
        <v>0.91073914957570623</v>
      </c>
      <c r="T191" s="20">
        <f t="shared" si="33"/>
        <v>-0.2855829231365532</v>
      </c>
      <c r="U191" s="20">
        <f t="shared" si="34"/>
        <v>-10.661479250217242</v>
      </c>
      <c r="V191" s="20">
        <f t="shared" si="35"/>
        <v>-106.98123697466526</v>
      </c>
      <c r="W191" s="20">
        <f t="shared" si="36"/>
        <v>1.2456752153302728</v>
      </c>
      <c r="X191" s="20">
        <f t="shared" si="37"/>
        <v>-0.17081347511472914</v>
      </c>
      <c r="Y191" s="20">
        <f t="shared" si="38"/>
        <v>-10.664018160704492</v>
      </c>
      <c r="Z191" s="20">
        <f t="shared" si="39"/>
        <v>-27.902562998580077</v>
      </c>
    </row>
    <row r="192" spans="2:26" x14ac:dyDescent="0.25">
      <c r="B192" s="6">
        <v>2089000000</v>
      </c>
      <c r="C192" s="6">
        <v>4.09</v>
      </c>
      <c r="D192" s="6">
        <v>-4.835</v>
      </c>
      <c r="E192" s="6">
        <v>4.9630000000000001</v>
      </c>
      <c r="F192" s="6">
        <v>-169</v>
      </c>
      <c r="G192" s="6">
        <v>4.9139999999999997</v>
      </c>
      <c r="H192" s="6">
        <v>-2.726</v>
      </c>
      <c r="I192" s="6">
        <v>3.194</v>
      </c>
      <c r="J192" s="6">
        <v>-171</v>
      </c>
      <c r="K192" s="6">
        <v>-0.4425</v>
      </c>
      <c r="L192" s="6">
        <v>-18.18</v>
      </c>
      <c r="M192" s="6">
        <v>-0.44490000000000002</v>
      </c>
      <c r="N192" s="6">
        <v>-168.6</v>
      </c>
      <c r="O192" s="6">
        <v>1.778</v>
      </c>
      <c r="P192" s="6">
        <v>-11.08</v>
      </c>
      <c r="Q192" s="6">
        <v>-0.44490000000000002</v>
      </c>
      <c r="R192" s="6">
        <v>-168.6</v>
      </c>
      <c r="S192" s="20">
        <f t="shared" si="32"/>
        <v>0.90690187807559008</v>
      </c>
      <c r="T192" s="20">
        <f t="shared" si="33"/>
        <v>-0.29099974778111615</v>
      </c>
      <c r="U192" s="20">
        <f t="shared" si="34"/>
        <v>-10.480551589831235</v>
      </c>
      <c r="V192" s="20">
        <f t="shared" si="35"/>
        <v>-107.35698320662311</v>
      </c>
      <c r="W192" s="20">
        <f t="shared" si="36"/>
        <v>1.2275377425591276</v>
      </c>
      <c r="X192" s="20">
        <f t="shared" si="37"/>
        <v>-0.20398804463659667</v>
      </c>
      <c r="Y192" s="20">
        <f t="shared" si="38"/>
        <v>-10.480141725765309</v>
      </c>
      <c r="Z192" s="20">
        <f t="shared" si="39"/>
        <v>-34.810181401108558</v>
      </c>
    </row>
    <row r="193" spans="2:26" x14ac:dyDescent="0.25">
      <c r="B193" s="6">
        <v>2138000000</v>
      </c>
      <c r="C193" s="6">
        <v>4.1479999999999997</v>
      </c>
      <c r="D193" s="6">
        <v>-6.0369999999999999</v>
      </c>
      <c r="E193" s="6">
        <v>4.8250000000000002</v>
      </c>
      <c r="F193" s="6">
        <v>-172.3</v>
      </c>
      <c r="G193" s="6">
        <v>4.8929999999999998</v>
      </c>
      <c r="H193" s="6">
        <v>-4.04</v>
      </c>
      <c r="I193" s="6">
        <v>3.2120000000000002</v>
      </c>
      <c r="J193" s="6">
        <v>-173.6</v>
      </c>
      <c r="K193" s="6">
        <v>-0.46260000000000001</v>
      </c>
      <c r="L193" s="6">
        <v>-18.579999999999998</v>
      </c>
      <c r="M193" s="6">
        <v>-0.46489999999999998</v>
      </c>
      <c r="N193" s="6">
        <v>-172.5</v>
      </c>
      <c r="O193" s="6">
        <v>1.623</v>
      </c>
      <c r="P193" s="6">
        <v>-12.73</v>
      </c>
      <c r="Q193" s="6">
        <v>-0.46489999999999998</v>
      </c>
      <c r="R193" s="6">
        <v>-172.5</v>
      </c>
      <c r="S193" s="20">
        <f t="shared" si="32"/>
        <v>0.90289166060691584</v>
      </c>
      <c r="T193" s="20">
        <f t="shared" si="33"/>
        <v>-0.29650647576189049</v>
      </c>
      <c r="U193" s="20">
        <f t="shared" si="34"/>
        <v>-10.298944543459719</v>
      </c>
      <c r="V193" s="20">
        <f t="shared" si="35"/>
        <v>-107.74077844701598</v>
      </c>
      <c r="W193" s="20">
        <f t="shared" si="36"/>
        <v>1.2042821989052857</v>
      </c>
      <c r="X193" s="20">
        <f t="shared" si="37"/>
        <v>-0.23583424926268529</v>
      </c>
      <c r="Y193" s="20">
        <f t="shared" si="38"/>
        <v>-10.297249852548322</v>
      </c>
      <c r="Z193" s="20">
        <f t="shared" si="39"/>
        <v>-41.876290537747664</v>
      </c>
    </row>
    <row r="194" spans="2:26" x14ac:dyDescent="0.25">
      <c r="B194" s="6">
        <v>2188000000</v>
      </c>
      <c r="C194" s="6">
        <v>4.1909999999999998</v>
      </c>
      <c r="D194" s="6">
        <v>-7.2670000000000003</v>
      </c>
      <c r="E194" s="6">
        <v>4.6929999999999996</v>
      </c>
      <c r="F194" s="6">
        <v>-175.6</v>
      </c>
      <c r="G194" s="6">
        <v>4.8559999999999999</v>
      </c>
      <c r="H194" s="6">
        <v>-5.4059999999999997</v>
      </c>
      <c r="I194" s="6">
        <v>3.2570000000000001</v>
      </c>
      <c r="J194" s="6">
        <v>-176.3</v>
      </c>
      <c r="K194" s="6">
        <v>-0.48359999999999997</v>
      </c>
      <c r="L194" s="6">
        <v>-18.98</v>
      </c>
      <c r="M194" s="6">
        <v>-0.48570000000000002</v>
      </c>
      <c r="N194" s="6">
        <v>-176.5</v>
      </c>
      <c r="O194" s="6">
        <v>1.431</v>
      </c>
      <c r="P194" s="6">
        <v>-14.37</v>
      </c>
      <c r="Q194" s="6">
        <v>-0.48570000000000002</v>
      </c>
      <c r="R194" s="6">
        <v>-176.5</v>
      </c>
      <c r="S194" s="20">
        <f t="shared" si="32"/>
        <v>0.89871754021199635</v>
      </c>
      <c r="T194" s="20">
        <f t="shared" si="33"/>
        <v>-0.30210266711674122</v>
      </c>
      <c r="U194" s="20">
        <f t="shared" si="34"/>
        <v>-10.11681354934246</v>
      </c>
      <c r="V194" s="20">
        <f t="shared" si="35"/>
        <v>-108.13405224167103</v>
      </c>
      <c r="W194" s="20">
        <f t="shared" si="36"/>
        <v>1.1758213564393443</v>
      </c>
      <c r="X194" s="20">
        <f t="shared" si="37"/>
        <v>-0.26562978942605342</v>
      </c>
      <c r="Y194" s="20">
        <f t="shared" si="38"/>
        <v>-10.116684611002292</v>
      </c>
      <c r="Z194" s="20">
        <f t="shared" si="39"/>
        <v>-49.100532457447677</v>
      </c>
    </row>
    <row r="195" spans="2:26" x14ac:dyDescent="0.25">
      <c r="B195" s="6">
        <v>2239000000</v>
      </c>
      <c r="C195" s="6">
        <v>4.22</v>
      </c>
      <c r="D195" s="6">
        <v>-8.52</v>
      </c>
      <c r="E195" s="6">
        <v>4.57</v>
      </c>
      <c r="F195" s="6">
        <v>-178.9</v>
      </c>
      <c r="G195" s="6">
        <v>4.8010000000000002</v>
      </c>
      <c r="H195" s="6">
        <v>-6.8319999999999999</v>
      </c>
      <c r="I195" s="6">
        <v>3.331</v>
      </c>
      <c r="J195" s="6">
        <v>-179</v>
      </c>
      <c r="K195" s="6">
        <v>-0.50549999999999995</v>
      </c>
      <c r="L195" s="6">
        <v>-19.39</v>
      </c>
      <c r="M195" s="6">
        <v>-0.50729999999999997</v>
      </c>
      <c r="N195" s="6">
        <v>179.4</v>
      </c>
      <c r="O195" s="6">
        <v>1.198</v>
      </c>
      <c r="P195" s="6">
        <v>-15.95</v>
      </c>
      <c r="Q195" s="6">
        <v>-0.50729999999999997</v>
      </c>
      <c r="R195" s="6">
        <v>179.4</v>
      </c>
      <c r="S195" s="20">
        <f t="shared" si="32"/>
        <v>0.89442150981841595</v>
      </c>
      <c r="T195" s="20">
        <f t="shared" si="33"/>
        <v>-0.30762483737608343</v>
      </c>
      <c r="U195" s="20">
        <f t="shared" si="34"/>
        <v>-9.9343060308662174</v>
      </c>
      <c r="V195" s="20">
        <f t="shared" si="35"/>
        <v>-108.53416031030704</v>
      </c>
      <c r="W195" s="20">
        <f t="shared" si="36"/>
        <v>1.1422081021705717</v>
      </c>
      <c r="X195" s="20">
        <f t="shared" si="37"/>
        <v>-0.29263179564066322</v>
      </c>
      <c r="Y195" s="20">
        <f t="shared" si="38"/>
        <v>-9.9365234839627874</v>
      </c>
      <c r="Z195" s="20">
        <f t="shared" si="39"/>
        <v>-56.499274930658039</v>
      </c>
    </row>
    <row r="196" spans="2:26" x14ac:dyDescent="0.25">
      <c r="B196" s="6">
        <v>2291000000</v>
      </c>
      <c r="C196" s="6">
        <v>4.2329999999999997</v>
      </c>
      <c r="D196" s="6">
        <v>-9.7910000000000004</v>
      </c>
      <c r="E196" s="6">
        <v>4.4569999999999999</v>
      </c>
      <c r="F196" s="6">
        <v>177.9</v>
      </c>
      <c r="G196" s="6">
        <v>4.7249999999999996</v>
      </c>
      <c r="H196" s="6">
        <v>-8.3239999999999998</v>
      </c>
      <c r="I196" s="6">
        <v>3.4359999999999999</v>
      </c>
      <c r="J196" s="6">
        <v>178.1</v>
      </c>
      <c r="K196" s="6">
        <v>-0.52829999999999999</v>
      </c>
      <c r="L196" s="6">
        <v>-19.809999999999999</v>
      </c>
      <c r="M196" s="6">
        <v>-0.52990000000000004</v>
      </c>
      <c r="N196" s="6">
        <v>175.2</v>
      </c>
      <c r="O196" s="6">
        <v>0.91920000000000002</v>
      </c>
      <c r="P196" s="6">
        <v>-17.46</v>
      </c>
      <c r="Q196" s="6">
        <v>-0.52990000000000004</v>
      </c>
      <c r="R196" s="6">
        <v>175.2</v>
      </c>
      <c r="S196" s="20">
        <f t="shared" si="32"/>
        <v>0.88995062063697905</v>
      </c>
      <c r="T196" s="20">
        <f t="shared" si="33"/>
        <v>-0.31322650869067209</v>
      </c>
      <c r="U196" s="20">
        <f t="shared" si="34"/>
        <v>-9.7559701966254</v>
      </c>
      <c r="V196" s="20">
        <f t="shared" si="35"/>
        <v>-108.94249479162748</v>
      </c>
      <c r="W196" s="20">
        <f t="shared" si="36"/>
        <v>1.1036976877586189</v>
      </c>
      <c r="X196" s="20">
        <f t="shared" si="37"/>
        <v>-0.31543812815431954</v>
      </c>
      <c r="Y196" s="20">
        <f t="shared" si="38"/>
        <v>-9.7528241964075626</v>
      </c>
      <c r="Z196" s="20">
        <f t="shared" si="39"/>
        <v>-64.081982517370619</v>
      </c>
    </row>
    <row r="197" spans="2:26" x14ac:dyDescent="0.25">
      <c r="B197" s="6">
        <v>2344000000</v>
      </c>
      <c r="C197" s="6">
        <v>4.2320000000000002</v>
      </c>
      <c r="D197" s="6">
        <v>-11.07</v>
      </c>
      <c r="E197" s="6">
        <v>4.3559999999999999</v>
      </c>
      <c r="F197" s="6">
        <v>174.6</v>
      </c>
      <c r="G197" s="6">
        <v>4.6230000000000002</v>
      </c>
      <c r="H197" s="6">
        <v>-9.8889999999999993</v>
      </c>
      <c r="I197" s="6">
        <v>3.5739999999999998</v>
      </c>
      <c r="J197" s="6">
        <v>175.1</v>
      </c>
      <c r="K197" s="6">
        <v>-0.55210000000000004</v>
      </c>
      <c r="L197" s="6">
        <v>-20.239999999999998</v>
      </c>
      <c r="M197" s="6">
        <v>-0.55330000000000001</v>
      </c>
      <c r="N197" s="6">
        <v>171</v>
      </c>
      <c r="O197" s="6">
        <v>0.59119999999999995</v>
      </c>
      <c r="P197" s="6">
        <v>-18.84</v>
      </c>
      <c r="Q197" s="6">
        <v>-0.55330000000000001</v>
      </c>
      <c r="R197" s="6">
        <v>171</v>
      </c>
      <c r="S197" s="20">
        <f t="shared" si="32"/>
        <v>0.88530373246811445</v>
      </c>
      <c r="T197" s="20">
        <f t="shared" si="33"/>
        <v>-0.31890350909022031</v>
      </c>
      <c r="U197" s="20">
        <f t="shared" si="34"/>
        <v>-9.5773284905278189</v>
      </c>
      <c r="V197" s="20">
        <f t="shared" si="35"/>
        <v>-109.35847676953975</v>
      </c>
      <c r="W197" s="20">
        <f t="shared" si="36"/>
        <v>1.0604128508044253</v>
      </c>
      <c r="X197" s="20">
        <f t="shared" si="37"/>
        <v>-0.33353316226479224</v>
      </c>
      <c r="Y197" s="20">
        <f t="shared" si="38"/>
        <v>-9.5760397866959508</v>
      </c>
      <c r="Z197" s="20">
        <f t="shared" si="39"/>
        <v>-71.802146030387391</v>
      </c>
    </row>
    <row r="198" spans="2:26" x14ac:dyDescent="0.25">
      <c r="B198" s="6">
        <v>2399000000</v>
      </c>
      <c r="C198" s="6">
        <v>4.2160000000000002</v>
      </c>
      <c r="D198" s="6">
        <v>-12.36</v>
      </c>
      <c r="E198" s="6">
        <v>4.2679999999999998</v>
      </c>
      <c r="F198" s="6">
        <v>171.3</v>
      </c>
      <c r="G198" s="6">
        <v>4.4909999999999997</v>
      </c>
      <c r="H198" s="6">
        <v>-11.53</v>
      </c>
      <c r="I198" s="6">
        <v>3.7469999999999999</v>
      </c>
      <c r="J198" s="6">
        <v>171.8</v>
      </c>
      <c r="K198" s="6">
        <v>-0.57689999999999997</v>
      </c>
      <c r="L198" s="6">
        <v>-20.67</v>
      </c>
      <c r="M198" s="6">
        <v>-0.57769999999999999</v>
      </c>
      <c r="N198" s="6">
        <v>166.6</v>
      </c>
      <c r="O198" s="6">
        <v>0.20930000000000001</v>
      </c>
      <c r="P198" s="6">
        <v>-20.03</v>
      </c>
      <c r="Q198" s="6">
        <v>-0.57769999999999999</v>
      </c>
      <c r="R198" s="6">
        <v>166.6</v>
      </c>
      <c r="S198" s="20">
        <f t="shared" si="32"/>
        <v>0.88046961704768023</v>
      </c>
      <c r="T198" s="20">
        <f t="shared" si="33"/>
        <v>-0.324647816175818</v>
      </c>
      <c r="U198" s="20">
        <f t="shared" si="34"/>
        <v>-9.3985129668081129</v>
      </c>
      <c r="V198" s="20">
        <f t="shared" si="35"/>
        <v>-109.78153849530851</v>
      </c>
      <c r="W198" s="20">
        <f t="shared" si="36"/>
        <v>1.0130847215638055</v>
      </c>
      <c r="X198" s="20">
        <f t="shared" si="37"/>
        <v>-0.3456715913041094</v>
      </c>
      <c r="Y198" s="20">
        <f t="shared" si="38"/>
        <v>-9.3970233721179888</v>
      </c>
      <c r="Z198" s="20">
        <f t="shared" si="39"/>
        <v>-79.733328114630325</v>
      </c>
    </row>
    <row r="199" spans="2:26" x14ac:dyDescent="0.25">
      <c r="B199" s="6">
        <v>2455000000</v>
      </c>
      <c r="C199" s="6">
        <v>4.1840000000000002</v>
      </c>
      <c r="D199" s="6">
        <v>-13.66</v>
      </c>
      <c r="E199" s="6">
        <v>4.1950000000000003</v>
      </c>
      <c r="F199" s="6">
        <v>168</v>
      </c>
      <c r="G199" s="6">
        <v>4.319</v>
      </c>
      <c r="H199" s="6">
        <v>-13.26</v>
      </c>
      <c r="I199" s="6">
        <v>3.956</v>
      </c>
      <c r="J199" s="6">
        <v>168.3</v>
      </c>
      <c r="K199" s="6">
        <v>-0.6028</v>
      </c>
      <c r="L199" s="6">
        <v>-21.11</v>
      </c>
      <c r="M199" s="6">
        <v>-0.60309999999999997</v>
      </c>
      <c r="N199" s="6">
        <v>162.19999999999999</v>
      </c>
      <c r="O199" s="6">
        <v>-0.23080000000000001</v>
      </c>
      <c r="P199" s="6">
        <v>-20.97</v>
      </c>
      <c r="Q199" s="6">
        <v>-0.60309999999999997</v>
      </c>
      <c r="R199" s="6">
        <v>162.19999999999999</v>
      </c>
      <c r="S199" s="20">
        <f t="shared" si="32"/>
        <v>0.87550507088440432</v>
      </c>
      <c r="T199" s="20">
        <f t="shared" si="33"/>
        <v>-0.33030203400665276</v>
      </c>
      <c r="U199" s="20">
        <f t="shared" si="34"/>
        <v>-9.2196493146171008</v>
      </c>
      <c r="V199" s="20">
        <f t="shared" si="35"/>
        <v>-110.21293869697047</v>
      </c>
      <c r="W199" s="20">
        <f t="shared" si="36"/>
        <v>0.96242741082817895</v>
      </c>
      <c r="X199" s="20">
        <f t="shared" si="37"/>
        <v>-0.3508657220630122</v>
      </c>
      <c r="Y199" s="20">
        <f t="shared" si="38"/>
        <v>-9.2205078745675664</v>
      </c>
      <c r="Z199" s="20">
        <f t="shared" si="39"/>
        <v>-87.832215378763323</v>
      </c>
    </row>
    <row r="200" spans="2:26" x14ac:dyDescent="0.25">
      <c r="B200" s="6">
        <v>2512000000</v>
      </c>
      <c r="C200" s="6">
        <v>4.1379999999999999</v>
      </c>
      <c r="D200" s="6">
        <v>-14.95</v>
      </c>
      <c r="E200" s="6">
        <v>4.1379999999999999</v>
      </c>
      <c r="F200" s="6">
        <v>164.6</v>
      </c>
      <c r="G200" s="6">
        <v>4.0979999999999999</v>
      </c>
      <c r="H200" s="6">
        <v>-15.06</v>
      </c>
      <c r="I200" s="6">
        <v>4.202</v>
      </c>
      <c r="J200" s="6">
        <v>164.5</v>
      </c>
      <c r="K200" s="6">
        <v>-0.62960000000000005</v>
      </c>
      <c r="L200" s="6">
        <v>-21.55</v>
      </c>
      <c r="M200" s="6">
        <v>-0.62949999999999995</v>
      </c>
      <c r="N200" s="6">
        <v>157.6</v>
      </c>
      <c r="O200" s="6">
        <v>-0.73250000000000004</v>
      </c>
      <c r="P200" s="6">
        <v>-21.54</v>
      </c>
      <c r="Q200" s="6">
        <v>-0.62949999999999995</v>
      </c>
      <c r="R200" s="6">
        <v>157.6</v>
      </c>
      <c r="S200" s="20">
        <f t="shared" si="32"/>
        <v>0.87034363711493823</v>
      </c>
      <c r="T200" s="20">
        <f t="shared" si="33"/>
        <v>-0.33601219217294725</v>
      </c>
      <c r="U200" s="20">
        <f t="shared" si="34"/>
        <v>-9.0448746117633938</v>
      </c>
      <c r="V200" s="20">
        <f t="shared" si="35"/>
        <v>-110.65204779283415</v>
      </c>
      <c r="W200" s="20">
        <f t="shared" si="36"/>
        <v>0.90928276339155978</v>
      </c>
      <c r="X200" s="20">
        <f t="shared" si="37"/>
        <v>-0.34849480692345258</v>
      </c>
      <c r="Y200" s="20">
        <f t="shared" si="38"/>
        <v>-9.0476627877168863</v>
      </c>
      <c r="Z200" s="20">
        <f t="shared" si="39"/>
        <v>-96.112247723582286</v>
      </c>
    </row>
    <row r="201" spans="2:26" x14ac:dyDescent="0.25">
      <c r="B201" s="6">
        <v>2570000000</v>
      </c>
      <c r="C201" s="6">
        <v>4.0750000000000002</v>
      </c>
      <c r="D201" s="6">
        <v>-16.239999999999998</v>
      </c>
      <c r="E201" s="6">
        <v>4.101</v>
      </c>
      <c r="F201" s="6">
        <v>161.19999999999999</v>
      </c>
      <c r="G201" s="6">
        <v>3.8140000000000001</v>
      </c>
      <c r="H201" s="6">
        <v>-16.93</v>
      </c>
      <c r="I201" s="6">
        <v>4.484</v>
      </c>
      <c r="J201" s="6">
        <v>160.30000000000001</v>
      </c>
      <c r="K201" s="6">
        <v>-0.65759999999999996</v>
      </c>
      <c r="L201" s="6">
        <v>-22</v>
      </c>
      <c r="M201" s="6">
        <v>-0.65700000000000003</v>
      </c>
      <c r="N201" s="6">
        <v>152.9</v>
      </c>
      <c r="O201" s="6">
        <v>-1.2969999999999999</v>
      </c>
      <c r="P201" s="6">
        <v>-21.62</v>
      </c>
      <c r="Q201" s="6">
        <v>-0.65700000000000003</v>
      </c>
      <c r="R201" s="6">
        <v>152.9</v>
      </c>
      <c r="S201" s="20">
        <f t="shared" si="32"/>
        <v>0.8650643634595524</v>
      </c>
      <c r="T201" s="20">
        <f t="shared" si="33"/>
        <v>-0.34163026213485598</v>
      </c>
      <c r="U201" s="20">
        <f t="shared" si="34"/>
        <v>-8.8700991476380739</v>
      </c>
      <c r="V201" s="20">
        <f t="shared" si="35"/>
        <v>-111.10000722156506</v>
      </c>
      <c r="W201" s="20">
        <f t="shared" si="36"/>
        <v>0.85493549464277374</v>
      </c>
      <c r="X201" s="20">
        <f t="shared" si="37"/>
        <v>-0.33745770633623312</v>
      </c>
      <c r="Y201" s="20">
        <f t="shared" si="38"/>
        <v>-8.8713286736867314</v>
      </c>
      <c r="Z201" s="20">
        <f t="shared" si="39"/>
        <v>-104.59093718306396</v>
      </c>
    </row>
    <row r="202" spans="2:26" x14ac:dyDescent="0.25">
      <c r="B202" s="6">
        <v>2630000000</v>
      </c>
      <c r="C202" s="6">
        <v>3.9950000000000001</v>
      </c>
      <c r="D202" s="6">
        <v>-17.52</v>
      </c>
      <c r="E202" s="6">
        <v>4.0830000000000002</v>
      </c>
      <c r="F202" s="6">
        <v>157.80000000000001</v>
      </c>
      <c r="G202" s="6">
        <v>3.4470000000000001</v>
      </c>
      <c r="H202" s="6">
        <v>-18.809999999999999</v>
      </c>
      <c r="I202" s="6">
        <v>4.7990000000000004</v>
      </c>
      <c r="J202" s="6">
        <v>155.69999999999999</v>
      </c>
      <c r="K202" s="6">
        <v>-0.68669999999999998</v>
      </c>
      <c r="L202" s="6">
        <v>-22.46</v>
      </c>
      <c r="M202" s="6">
        <v>-0.6855</v>
      </c>
      <c r="N202" s="6">
        <v>148.19999999999999</v>
      </c>
      <c r="O202" s="6">
        <v>-1.921</v>
      </c>
      <c r="P202" s="6">
        <v>-21.02</v>
      </c>
      <c r="Q202" s="6">
        <v>-0.6855</v>
      </c>
      <c r="R202" s="6">
        <v>148.19999999999999</v>
      </c>
      <c r="S202" s="20">
        <f t="shared" si="32"/>
        <v>0.85957912584782603</v>
      </c>
      <c r="T202" s="20">
        <f t="shared" si="33"/>
        <v>-0.34729251002298045</v>
      </c>
      <c r="U202" s="20">
        <f t="shared" si="34"/>
        <v>-8.6992733056266864</v>
      </c>
      <c r="V202" s="20">
        <f t="shared" si="35"/>
        <v>-111.55281330321874</v>
      </c>
      <c r="W202" s="20">
        <f t="shared" si="36"/>
        <v>0.80069756244900581</v>
      </c>
      <c r="X202" s="20">
        <f t="shared" si="37"/>
        <v>-0.31734194596515658</v>
      </c>
      <c r="Y202" s="20">
        <f t="shared" si="38"/>
        <v>-8.699191150748284</v>
      </c>
      <c r="Z202" s="20">
        <f t="shared" si="39"/>
        <v>-113.26164208871249</v>
      </c>
    </row>
    <row r="203" spans="2:26" x14ac:dyDescent="0.25">
      <c r="B203" s="6">
        <v>2692000000</v>
      </c>
      <c r="C203" s="6">
        <v>3.8969999999999998</v>
      </c>
      <c r="D203" s="6">
        <v>-18.78</v>
      </c>
      <c r="E203" s="6">
        <v>4.0880000000000001</v>
      </c>
      <c r="F203" s="6">
        <v>154.19999999999999</v>
      </c>
      <c r="G203" s="6">
        <v>2.9710000000000001</v>
      </c>
      <c r="H203" s="6">
        <v>-20.61</v>
      </c>
      <c r="I203" s="6">
        <v>5.1429999999999998</v>
      </c>
      <c r="J203" s="6">
        <v>150.6</v>
      </c>
      <c r="K203" s="6">
        <v>-0.71679999999999999</v>
      </c>
      <c r="L203" s="6">
        <v>-22.93</v>
      </c>
      <c r="M203" s="6">
        <v>-0.71509999999999996</v>
      </c>
      <c r="N203" s="6">
        <v>143.30000000000001</v>
      </c>
      <c r="O203" s="6">
        <v>-2.5920000000000001</v>
      </c>
      <c r="P203" s="6">
        <v>-19.52</v>
      </c>
      <c r="Q203" s="6">
        <v>-0.71509999999999996</v>
      </c>
      <c r="R203" s="6">
        <v>143.30000000000001</v>
      </c>
      <c r="S203" s="20">
        <f t="shared" si="32"/>
        <v>0.8538976322743802</v>
      </c>
      <c r="T203" s="20">
        <f t="shared" si="33"/>
        <v>-0.35299776869836613</v>
      </c>
      <c r="U203" s="20">
        <f t="shared" si="34"/>
        <v>-8.5284913616934901</v>
      </c>
      <c r="V203" s="20">
        <f t="shared" si="35"/>
        <v>-112.01497422506615</v>
      </c>
      <c r="W203" s="20">
        <f t="shared" si="36"/>
        <v>0.74824446782284049</v>
      </c>
      <c r="X203" s="20">
        <f t="shared" si="37"/>
        <v>-0.28752385363620803</v>
      </c>
      <c r="Y203" s="20">
        <f t="shared" si="38"/>
        <v>-8.5254823071980983</v>
      </c>
      <c r="Z203" s="20">
        <f t="shared" si="39"/>
        <v>-122.13033530355887</v>
      </c>
    </row>
    <row r="204" spans="2:26" x14ac:dyDescent="0.25">
      <c r="B204" s="6">
        <v>2754000000</v>
      </c>
      <c r="C204" s="6">
        <v>3.78</v>
      </c>
      <c r="D204" s="6">
        <v>-20.02</v>
      </c>
      <c r="E204" s="6">
        <v>4.1159999999999997</v>
      </c>
      <c r="F204" s="6">
        <v>150.6</v>
      </c>
      <c r="G204" s="6">
        <v>2.351</v>
      </c>
      <c r="H204" s="6">
        <v>-22.13</v>
      </c>
      <c r="I204" s="6">
        <v>5.5039999999999996</v>
      </c>
      <c r="J204" s="6">
        <v>144.80000000000001</v>
      </c>
      <c r="K204" s="6">
        <v>-0.74809999999999999</v>
      </c>
      <c r="L204" s="6">
        <v>-23.41</v>
      </c>
      <c r="M204" s="6">
        <v>-0.74590000000000001</v>
      </c>
      <c r="N204" s="6">
        <v>138.30000000000001</v>
      </c>
      <c r="O204" s="6">
        <v>-3.2810000000000001</v>
      </c>
      <c r="P204" s="6">
        <v>-16.850000000000001</v>
      </c>
      <c r="Q204" s="6">
        <v>-0.74590000000000001</v>
      </c>
      <c r="R204" s="6">
        <v>138.30000000000001</v>
      </c>
      <c r="S204" s="20">
        <f t="shared" si="32"/>
        <v>0.84802942704489492</v>
      </c>
      <c r="T204" s="20">
        <f t="shared" si="33"/>
        <v>-0.35874502822687915</v>
      </c>
      <c r="U204" s="20">
        <f t="shared" si="34"/>
        <v>-8.3578600214464114</v>
      </c>
      <c r="V204" s="20">
        <f t="shared" si="35"/>
        <v>-112.48419117046319</v>
      </c>
      <c r="W204" s="20">
        <f t="shared" si="36"/>
        <v>0.69934719678883905</v>
      </c>
      <c r="X204" s="20">
        <f t="shared" si="37"/>
        <v>-0.24792659564554037</v>
      </c>
      <c r="Y204" s="20">
        <f t="shared" si="38"/>
        <v>-8.3549601702113492</v>
      </c>
      <c r="Z204" s="20">
        <f t="shared" si="39"/>
        <v>-131.20534986425832</v>
      </c>
    </row>
    <row r="205" spans="2:26" x14ac:dyDescent="0.25">
      <c r="B205" s="6">
        <v>2818000000</v>
      </c>
      <c r="C205" s="6">
        <v>3.6419999999999999</v>
      </c>
      <c r="D205" s="6">
        <v>-21.22</v>
      </c>
      <c r="E205" s="6">
        <v>4.17</v>
      </c>
      <c r="F205" s="6">
        <v>146.80000000000001</v>
      </c>
      <c r="G205" s="6">
        <v>1.546</v>
      </c>
      <c r="H205" s="6">
        <v>-23.01</v>
      </c>
      <c r="I205" s="6">
        <v>5.8659999999999997</v>
      </c>
      <c r="J205" s="6">
        <v>138.30000000000001</v>
      </c>
      <c r="K205" s="6">
        <v>-0.78059999999999996</v>
      </c>
      <c r="L205" s="6">
        <v>-23.89</v>
      </c>
      <c r="M205" s="6">
        <v>-0.77780000000000005</v>
      </c>
      <c r="N205" s="6">
        <v>133.19999999999999</v>
      </c>
      <c r="O205" s="6">
        <v>-3.9319999999999999</v>
      </c>
      <c r="P205" s="6">
        <v>-12.76</v>
      </c>
      <c r="Q205" s="6">
        <v>-0.77780000000000005</v>
      </c>
      <c r="R205" s="6">
        <v>133.19999999999999</v>
      </c>
      <c r="S205" s="20">
        <f t="shared" si="32"/>
        <v>0.84195479232863102</v>
      </c>
      <c r="T205" s="20">
        <f t="shared" si="33"/>
        <v>-0.36452085371851245</v>
      </c>
      <c r="U205" s="20">
        <f t="shared" si="34"/>
        <v>-8.1874811168152473</v>
      </c>
      <c r="V205" s="20">
        <f t="shared" si="35"/>
        <v>-112.95835243982633</v>
      </c>
      <c r="W205" s="20">
        <f t="shared" si="36"/>
        <v>0.6559825683232644</v>
      </c>
      <c r="X205" s="20">
        <f t="shared" si="37"/>
        <v>-0.19867761323297253</v>
      </c>
      <c r="Y205" s="20">
        <f t="shared" si="38"/>
        <v>-8.1855744837576001</v>
      </c>
      <c r="Z205" s="20">
        <f t="shared" si="39"/>
        <v>-140.49006733360389</v>
      </c>
    </row>
    <row r="206" spans="2:26" x14ac:dyDescent="0.25">
      <c r="B206" s="6">
        <v>2884000000</v>
      </c>
      <c r="C206" s="6">
        <v>3.4809999999999999</v>
      </c>
      <c r="D206" s="6">
        <v>-22.37</v>
      </c>
      <c r="E206" s="6">
        <v>4.25</v>
      </c>
      <c r="F206" s="6">
        <v>142.9</v>
      </c>
      <c r="G206" s="6">
        <v>0.52380000000000004</v>
      </c>
      <c r="H206" s="6">
        <v>-22.49</v>
      </c>
      <c r="I206" s="6">
        <v>6.2039999999999997</v>
      </c>
      <c r="J206" s="6">
        <v>131</v>
      </c>
      <c r="K206" s="6">
        <v>-0.81420000000000003</v>
      </c>
      <c r="L206" s="6">
        <v>-24.38</v>
      </c>
      <c r="M206" s="6">
        <v>-0.81100000000000005</v>
      </c>
      <c r="N206" s="6">
        <v>128</v>
      </c>
      <c r="O206" s="6">
        <v>-4.4569999999999999</v>
      </c>
      <c r="P206" s="6">
        <v>-7.1139999999999999</v>
      </c>
      <c r="Q206" s="6">
        <v>-0.81100000000000005</v>
      </c>
      <c r="R206" s="6">
        <v>128</v>
      </c>
      <c r="S206" s="20">
        <f t="shared" si="32"/>
        <v>0.83573853849658164</v>
      </c>
      <c r="T206" s="20">
        <f t="shared" si="33"/>
        <v>-0.37017384923003394</v>
      </c>
      <c r="U206" s="20">
        <f t="shared" si="34"/>
        <v>-8.0174512271419669</v>
      </c>
      <c r="V206" s="20">
        <f t="shared" si="35"/>
        <v>-113.44009501871253</v>
      </c>
      <c r="W206" s="20">
        <f t="shared" si="36"/>
        <v>0.62021163667726142</v>
      </c>
      <c r="X206" s="20">
        <f t="shared" si="37"/>
        <v>-0.14045335965341774</v>
      </c>
      <c r="Y206" s="20">
        <f t="shared" si="38"/>
        <v>-8.0183579444735305</v>
      </c>
      <c r="Z206" s="20">
        <f t="shared" si="39"/>
        <v>-149.99262370140977</v>
      </c>
    </row>
    <row r="207" spans="2:26" x14ac:dyDescent="0.25">
      <c r="B207" s="6">
        <v>2951000000</v>
      </c>
      <c r="C207" s="6">
        <v>3.2949999999999999</v>
      </c>
      <c r="D207" s="6">
        <v>-23.45</v>
      </c>
      <c r="E207" s="6">
        <v>4.359</v>
      </c>
      <c r="F207" s="6">
        <v>138.9</v>
      </c>
      <c r="G207" s="6">
        <v>-0.69259999999999999</v>
      </c>
      <c r="H207" s="6">
        <v>-19.3</v>
      </c>
      <c r="I207" s="6">
        <v>6.4850000000000003</v>
      </c>
      <c r="J207" s="6">
        <v>122.8</v>
      </c>
      <c r="K207" s="6">
        <v>-0.84909999999999997</v>
      </c>
      <c r="L207" s="6">
        <v>-24.87</v>
      </c>
      <c r="M207" s="6">
        <v>-0.84540000000000004</v>
      </c>
      <c r="N207" s="6">
        <v>122.6</v>
      </c>
      <c r="O207" s="6">
        <v>-4.74</v>
      </c>
      <c r="P207" s="6">
        <v>-0.12759999999999999</v>
      </c>
      <c r="Q207" s="6">
        <v>-0.84540000000000004</v>
      </c>
      <c r="R207" s="6">
        <v>122.6</v>
      </c>
      <c r="S207" s="20">
        <f t="shared" si="32"/>
        <v>0.82932790832458914</v>
      </c>
      <c r="T207" s="20">
        <f t="shared" si="33"/>
        <v>-0.37585082024850924</v>
      </c>
      <c r="U207" s="20">
        <f t="shared" si="34"/>
        <v>-7.8512833048507265</v>
      </c>
      <c r="V207" s="20">
        <f t="shared" si="35"/>
        <v>-113.92884301046497</v>
      </c>
      <c r="W207" s="20">
        <f t="shared" si="36"/>
        <v>0.59400997545250955</v>
      </c>
      <c r="X207" s="20">
        <f t="shared" si="37"/>
        <v>-7.4135253942952159E-2</v>
      </c>
      <c r="Y207" s="20">
        <f t="shared" si="38"/>
        <v>-7.8524527844836909</v>
      </c>
      <c r="Z207" s="20">
        <f t="shared" si="39"/>
        <v>-159.7045945907951</v>
      </c>
    </row>
    <row r="208" spans="2:26" x14ac:dyDescent="0.25">
      <c r="B208" s="6">
        <v>3020000000</v>
      </c>
      <c r="C208" s="6">
        <v>3.0819999999999999</v>
      </c>
      <c r="D208" s="6">
        <v>-24.43</v>
      </c>
      <c r="E208" s="6">
        <v>4.4969999999999999</v>
      </c>
      <c r="F208" s="6">
        <v>134.6</v>
      </c>
      <c r="G208" s="6">
        <v>-1.8819999999999999</v>
      </c>
      <c r="H208" s="6">
        <v>-11.66</v>
      </c>
      <c r="I208" s="6">
        <v>6.6689999999999996</v>
      </c>
      <c r="J208" s="6">
        <v>113.9</v>
      </c>
      <c r="K208" s="6">
        <v>-0.8851</v>
      </c>
      <c r="L208" s="6">
        <v>-25.37</v>
      </c>
      <c r="M208" s="6">
        <v>-0.88119999999999998</v>
      </c>
      <c r="N208" s="6">
        <v>117.2</v>
      </c>
      <c r="O208" s="6">
        <v>-4.6820000000000004</v>
      </c>
      <c r="P208" s="6">
        <v>7.4989999999999997</v>
      </c>
      <c r="Q208" s="6">
        <v>-0.88119999999999998</v>
      </c>
      <c r="R208" s="6">
        <v>117.2</v>
      </c>
      <c r="S208" s="20">
        <f t="shared" si="32"/>
        <v>0.82277074853372012</v>
      </c>
      <c r="T208" s="20">
        <f t="shared" si="33"/>
        <v>-0.38139396756042876</v>
      </c>
      <c r="U208" s="20">
        <f t="shared" si="34"/>
        <v>-7.6854875543670333</v>
      </c>
      <c r="V208" s="20">
        <f t="shared" si="35"/>
        <v>-114.42257571952034</v>
      </c>
      <c r="W208" s="20">
        <f t="shared" si="36"/>
        <v>0.57942725952898522</v>
      </c>
      <c r="X208" s="20">
        <f t="shared" si="37"/>
        <v>-1.2904098901581605E-3</v>
      </c>
      <c r="Y208" s="20">
        <f t="shared" si="38"/>
        <v>-7.6872431561434551</v>
      </c>
      <c r="Z208" s="20">
        <f t="shared" si="39"/>
        <v>-169.6515965522581</v>
      </c>
    </row>
    <row r="209" spans="2:26" x14ac:dyDescent="0.25">
      <c r="B209" s="6">
        <v>3090000000</v>
      </c>
      <c r="C209" s="6">
        <v>2.8370000000000002</v>
      </c>
      <c r="D209" s="6">
        <v>-25.27</v>
      </c>
      <c r="E209" s="6">
        <v>4.6639999999999997</v>
      </c>
      <c r="F209" s="6">
        <v>130.1</v>
      </c>
      <c r="G209" s="6">
        <v>-2.4670000000000001</v>
      </c>
      <c r="H209" s="6">
        <v>0.80130000000000001</v>
      </c>
      <c r="I209" s="6">
        <v>6.7149999999999999</v>
      </c>
      <c r="J209" s="6">
        <v>104.3</v>
      </c>
      <c r="K209" s="6">
        <v>-0.9224</v>
      </c>
      <c r="L209" s="6">
        <v>-25.88</v>
      </c>
      <c r="M209" s="6">
        <v>-0.91820000000000002</v>
      </c>
      <c r="N209" s="6">
        <v>111.6</v>
      </c>
      <c r="O209" s="6">
        <v>-4.2619999999999996</v>
      </c>
      <c r="P209" s="6">
        <v>14.72</v>
      </c>
      <c r="Q209" s="6">
        <v>-0.91820000000000002</v>
      </c>
      <c r="R209" s="6">
        <v>111.6</v>
      </c>
      <c r="S209" s="20">
        <f t="shared" si="32"/>
        <v>0.81602202510943056</v>
      </c>
      <c r="T209" s="20">
        <f t="shared" si="33"/>
        <v>-0.38695227227150841</v>
      </c>
      <c r="U209" s="20">
        <f t="shared" si="34"/>
        <v>-7.5234197880781384</v>
      </c>
      <c r="V209" s="20">
        <f t="shared" si="35"/>
        <v>-114.92373408999444</v>
      </c>
      <c r="W209" s="20">
        <f t="shared" si="36"/>
        <v>0.57832180074306505</v>
      </c>
      <c r="X209" s="20">
        <f t="shared" si="37"/>
        <v>7.6127240934648482E-2</v>
      </c>
      <c r="Y209" s="20">
        <f t="shared" si="38"/>
        <v>-7.5231367087033005</v>
      </c>
      <c r="Z209" s="20">
        <f t="shared" si="39"/>
        <v>-179.82420446827123</v>
      </c>
    </row>
    <row r="210" spans="2:26" x14ac:dyDescent="0.25">
      <c r="B210" s="6">
        <v>3162000000</v>
      </c>
      <c r="C210" s="6">
        <v>2.5609999999999999</v>
      </c>
      <c r="D210" s="6">
        <v>-25.91</v>
      </c>
      <c r="E210" s="6">
        <v>4.8600000000000003</v>
      </c>
      <c r="F210" s="6">
        <v>125.3</v>
      </c>
      <c r="G210" s="6">
        <v>-1.9279999999999999</v>
      </c>
      <c r="H210" s="6">
        <v>13.91</v>
      </c>
      <c r="I210" s="6">
        <v>6.5960000000000001</v>
      </c>
      <c r="J210" s="6">
        <v>94.48</v>
      </c>
      <c r="K210" s="6">
        <v>-0.96099999999999997</v>
      </c>
      <c r="L210" s="6">
        <v>-26.4</v>
      </c>
      <c r="M210" s="6">
        <v>-0.95669999999999999</v>
      </c>
      <c r="N210" s="6">
        <v>105.9</v>
      </c>
      <c r="O210" s="6">
        <v>-3.5489999999999999</v>
      </c>
      <c r="P210" s="6">
        <v>20.63</v>
      </c>
      <c r="Q210" s="6">
        <v>-0.95669999999999999</v>
      </c>
      <c r="R210" s="6">
        <v>105.9</v>
      </c>
      <c r="S210" s="20">
        <f t="shared" si="32"/>
        <v>0.80906356262998802</v>
      </c>
      <c r="T210" s="20">
        <f t="shared" si="33"/>
        <v>-0.39251121182359439</v>
      </c>
      <c r="U210" s="20">
        <f t="shared" si="34"/>
        <v>-7.3617473795217041</v>
      </c>
      <c r="V210" s="20">
        <f t="shared" si="35"/>
        <v>-115.42893434730362</v>
      </c>
      <c r="W210" s="20">
        <f t="shared" si="36"/>
        <v>0.5921161548342061</v>
      </c>
      <c r="X210" s="20">
        <f t="shared" si="37"/>
        <v>0.15555969830280281</v>
      </c>
      <c r="Y210" s="20">
        <f t="shared" si="38"/>
        <v>-7.3610872990787621</v>
      </c>
      <c r="Z210" s="20">
        <f t="shared" si="39"/>
        <v>169.76639475111855</v>
      </c>
    </row>
    <row r="211" spans="2:26" x14ac:dyDescent="0.25">
      <c r="B211" s="6">
        <v>3236000000</v>
      </c>
      <c r="C211" s="6">
        <v>2.25</v>
      </c>
      <c r="D211" s="6">
        <v>-26.28</v>
      </c>
      <c r="E211" s="6">
        <v>5.0839999999999996</v>
      </c>
      <c r="F211" s="6">
        <v>120.1</v>
      </c>
      <c r="G211" s="6">
        <v>-0.6089</v>
      </c>
      <c r="H211" s="6">
        <v>22.41</v>
      </c>
      <c r="I211" s="6">
        <v>6.3070000000000004</v>
      </c>
      <c r="J211" s="6">
        <v>84.69</v>
      </c>
      <c r="K211" s="6">
        <v>-1.0009999999999999</v>
      </c>
      <c r="L211" s="6">
        <v>-26.93</v>
      </c>
      <c r="M211" s="6">
        <v>-0.99670000000000003</v>
      </c>
      <c r="N211" s="6">
        <v>100</v>
      </c>
      <c r="O211" s="6">
        <v>-2.661</v>
      </c>
      <c r="P211" s="6">
        <v>24.77</v>
      </c>
      <c r="Q211" s="6">
        <v>-0.99670000000000003</v>
      </c>
      <c r="R211" s="6">
        <v>100</v>
      </c>
      <c r="S211" s="20">
        <f t="shared" si="32"/>
        <v>0.80189642315460152</v>
      </c>
      <c r="T211" s="20">
        <f t="shared" si="33"/>
        <v>-0.3980648414192941</v>
      </c>
      <c r="U211" s="20">
        <f t="shared" si="34"/>
        <v>-7.2005538211603204</v>
      </c>
      <c r="V211" s="20">
        <f t="shared" si="35"/>
        <v>-115.94052928301936</v>
      </c>
      <c r="W211" s="20">
        <f t="shared" si="36"/>
        <v>0.6219678429439216</v>
      </c>
      <c r="X211" s="20">
        <f t="shared" si="37"/>
        <v>0.23415408763603099</v>
      </c>
      <c r="Y211" s="20">
        <f t="shared" si="38"/>
        <v>-7.1994990793764977</v>
      </c>
      <c r="Z211" s="20">
        <f t="shared" si="39"/>
        <v>159.12403187218334</v>
      </c>
    </row>
    <row r="212" spans="2:26" x14ac:dyDescent="0.25">
      <c r="B212" s="6">
        <v>3311000000</v>
      </c>
      <c r="C212" s="6">
        <v>1.91</v>
      </c>
      <c r="D212" s="6">
        <v>-26.25</v>
      </c>
      <c r="E212" s="6">
        <v>5.3310000000000004</v>
      </c>
      <c r="F212" s="6">
        <v>114.6</v>
      </c>
      <c r="G212" s="6">
        <v>0.82040000000000002</v>
      </c>
      <c r="H212" s="6">
        <v>25.72</v>
      </c>
      <c r="I212" s="6">
        <v>5.8680000000000003</v>
      </c>
      <c r="J212" s="6">
        <v>75.319999999999993</v>
      </c>
      <c r="K212" s="6">
        <v>-1.042</v>
      </c>
      <c r="L212" s="6">
        <v>-27.46</v>
      </c>
      <c r="M212" s="6">
        <v>-1.038</v>
      </c>
      <c r="N212" s="6">
        <v>94.08</v>
      </c>
      <c r="O212" s="6">
        <v>-1.708</v>
      </c>
      <c r="P212" s="6">
        <v>27.13</v>
      </c>
      <c r="Q212" s="6">
        <v>-1.038</v>
      </c>
      <c r="R212" s="6">
        <v>94.08</v>
      </c>
      <c r="S212" s="20">
        <f t="shared" si="32"/>
        <v>0.79451266679589116</v>
      </c>
      <c r="T212" s="20">
        <f t="shared" si="33"/>
        <v>-0.40360249905762641</v>
      </c>
      <c r="U212" s="20">
        <f t="shared" si="34"/>
        <v>-7.0399191350225099</v>
      </c>
      <c r="V212" s="20">
        <f t="shared" si="35"/>
        <v>-116.45799627663456</v>
      </c>
      <c r="W212" s="20">
        <f t="shared" si="36"/>
        <v>0.66839686374794505</v>
      </c>
      <c r="X212" s="20">
        <f t="shared" si="37"/>
        <v>0.3084181203877891</v>
      </c>
      <c r="Y212" s="20">
        <f t="shared" si="38"/>
        <v>-7.0391327032040598</v>
      </c>
      <c r="Z212" s="20">
        <f t="shared" si="39"/>
        <v>148.22581967915113</v>
      </c>
    </row>
    <row r="213" spans="2:26" x14ac:dyDescent="0.25">
      <c r="B213" s="6">
        <v>3388000000</v>
      </c>
      <c r="C213" s="6">
        <v>1.5469999999999999</v>
      </c>
      <c r="D213" s="6">
        <v>-25.7</v>
      </c>
      <c r="E213" s="6">
        <v>5.5970000000000004</v>
      </c>
      <c r="F213" s="6">
        <v>108.6</v>
      </c>
      <c r="G213" s="6">
        <v>2.0369999999999999</v>
      </c>
      <c r="H213" s="6">
        <v>25.68</v>
      </c>
      <c r="I213" s="6">
        <v>5.3179999999999996</v>
      </c>
      <c r="J213" s="6">
        <v>66.63</v>
      </c>
      <c r="K213" s="6">
        <v>-1.085</v>
      </c>
      <c r="L213" s="6">
        <v>-28</v>
      </c>
      <c r="M213" s="6">
        <v>-1.081</v>
      </c>
      <c r="N213" s="6">
        <v>87.98</v>
      </c>
      <c r="O213" s="6">
        <v>-0.76580000000000004</v>
      </c>
      <c r="P213" s="6">
        <v>27.93</v>
      </c>
      <c r="Q213" s="6">
        <v>-1.081</v>
      </c>
      <c r="R213" s="6">
        <v>87.98</v>
      </c>
      <c r="S213" s="20">
        <f t="shared" si="32"/>
        <v>0.7870215471383637</v>
      </c>
      <c r="T213" s="20">
        <f t="shared" si="33"/>
        <v>-0.40899940036433557</v>
      </c>
      <c r="U213" s="20">
        <f t="shared" si="34"/>
        <v>-6.8799194695142294</v>
      </c>
      <c r="V213" s="20">
        <f t="shared" si="35"/>
        <v>-116.98214391159216</v>
      </c>
      <c r="W213" s="20">
        <f t="shared" si="36"/>
        <v>0.73110103244096358</v>
      </c>
      <c r="X213" s="20">
        <f t="shared" si="37"/>
        <v>0.37460647516362305</v>
      </c>
      <c r="Y213" s="20">
        <f t="shared" si="38"/>
        <v>-6.8807165762145006</v>
      </c>
      <c r="Z213" s="20">
        <f t="shared" si="39"/>
        <v>137.07465443034746</v>
      </c>
    </row>
    <row r="214" spans="2:26" x14ac:dyDescent="0.25">
      <c r="B214" s="6">
        <v>3467000000</v>
      </c>
      <c r="C214" s="6">
        <v>1.1850000000000001</v>
      </c>
      <c r="D214" s="6">
        <v>-24.46</v>
      </c>
      <c r="E214" s="6">
        <v>5.8710000000000004</v>
      </c>
      <c r="F214" s="6">
        <v>102</v>
      </c>
      <c r="G214" s="6">
        <v>2.984</v>
      </c>
      <c r="H214" s="6">
        <v>23.9</v>
      </c>
      <c r="I214" s="6">
        <v>4.7</v>
      </c>
      <c r="J214" s="6">
        <v>58.73</v>
      </c>
      <c r="K214" s="6">
        <v>-1.129</v>
      </c>
      <c r="L214" s="6">
        <v>-28.55</v>
      </c>
      <c r="M214" s="6">
        <v>-1.1259999999999999</v>
      </c>
      <c r="N214" s="6">
        <v>81.75</v>
      </c>
      <c r="O214" s="6">
        <v>0.1216</v>
      </c>
      <c r="P214" s="6">
        <v>27.44</v>
      </c>
      <c r="Q214" s="6">
        <v>-1.1259999999999999</v>
      </c>
      <c r="R214" s="6">
        <v>81.75</v>
      </c>
      <c r="S214" s="20">
        <f t="shared" si="32"/>
        <v>0.77926456249870002</v>
      </c>
      <c r="T214" s="20">
        <f t="shared" si="33"/>
        <v>-0.4143423176401147</v>
      </c>
      <c r="U214" s="20">
        <f t="shared" si="34"/>
        <v>-6.7235436061130205</v>
      </c>
      <c r="V214" s="20">
        <f t="shared" si="35"/>
        <v>-117.50736671491204</v>
      </c>
      <c r="W214" s="20">
        <f t="shared" si="36"/>
        <v>0.80895922424237077</v>
      </c>
      <c r="X214" s="20">
        <f t="shared" si="37"/>
        <v>0.42886432591530377</v>
      </c>
      <c r="Y214" s="20">
        <f t="shared" si="38"/>
        <v>-6.7236184581634113</v>
      </c>
      <c r="Z214" s="20">
        <f t="shared" si="39"/>
        <v>125.67143515554301</v>
      </c>
    </row>
    <row r="215" spans="2:26" x14ac:dyDescent="0.25">
      <c r="B215" s="6">
        <v>3548000000</v>
      </c>
      <c r="C215" s="6">
        <v>0.86329999999999996</v>
      </c>
      <c r="D215" s="6">
        <v>-22.41</v>
      </c>
      <c r="E215" s="6">
        <v>6.14</v>
      </c>
      <c r="F215" s="6">
        <v>94.9</v>
      </c>
      <c r="G215" s="6">
        <v>3.6960000000000002</v>
      </c>
      <c r="H215" s="6">
        <v>21.32</v>
      </c>
      <c r="I215" s="6">
        <v>4.0579999999999998</v>
      </c>
      <c r="J215" s="6">
        <v>51.63</v>
      </c>
      <c r="K215" s="6">
        <v>-1.175</v>
      </c>
      <c r="L215" s="6">
        <v>-29.1</v>
      </c>
      <c r="M215" s="6">
        <v>-1.1719999999999999</v>
      </c>
      <c r="N215" s="6">
        <v>75.37</v>
      </c>
      <c r="O215" s="6">
        <v>0.92989999999999995</v>
      </c>
      <c r="P215" s="6">
        <v>25.91</v>
      </c>
      <c r="Q215" s="6">
        <v>-1.1719999999999999</v>
      </c>
      <c r="R215" s="6">
        <v>75.37</v>
      </c>
      <c r="S215" s="20">
        <f t="shared" si="32"/>
        <v>0.77133406925073511</v>
      </c>
      <c r="T215" s="20">
        <f t="shared" si="33"/>
        <v>-0.41967219374049514</v>
      </c>
      <c r="U215" s="20">
        <f t="shared" si="34"/>
        <v>-6.5678113967271248</v>
      </c>
      <c r="V215" s="20">
        <f t="shared" si="35"/>
        <v>-118.04587451544609</v>
      </c>
      <c r="W215" s="20">
        <f t="shared" si="36"/>
        <v>0.90000593052466427</v>
      </c>
      <c r="X215" s="20">
        <f t="shared" si="37"/>
        <v>0.46731619715308881</v>
      </c>
      <c r="Y215" s="20">
        <f t="shared" si="38"/>
        <v>-6.5674666114199622</v>
      </c>
      <c r="Z215" s="20">
        <f t="shared" si="39"/>
        <v>114.01093421946591</v>
      </c>
    </row>
    <row r="216" spans="2:26" x14ac:dyDescent="0.25">
      <c r="B216" s="6">
        <v>3631000000</v>
      </c>
      <c r="C216" s="6">
        <v>0.64139999999999997</v>
      </c>
      <c r="D216" s="6">
        <v>-19.52</v>
      </c>
      <c r="E216" s="6">
        <v>6.3860000000000001</v>
      </c>
      <c r="F216" s="6">
        <v>87.15</v>
      </c>
      <c r="G216" s="6">
        <v>4.2249999999999996</v>
      </c>
      <c r="H216" s="6">
        <v>18.45</v>
      </c>
      <c r="I216" s="6">
        <v>3.4260000000000002</v>
      </c>
      <c r="J216" s="6">
        <v>45.26</v>
      </c>
      <c r="K216" s="6">
        <v>-1.222</v>
      </c>
      <c r="L216" s="6">
        <v>-29.67</v>
      </c>
      <c r="M216" s="6">
        <v>-1.2210000000000001</v>
      </c>
      <c r="N216" s="6">
        <v>68.849999999999994</v>
      </c>
      <c r="O216" s="6">
        <v>1.647</v>
      </c>
      <c r="P216" s="6">
        <v>23.55</v>
      </c>
      <c r="Q216" s="6">
        <v>-1.2210000000000001</v>
      </c>
      <c r="R216" s="6">
        <v>68.849999999999994</v>
      </c>
      <c r="S216" s="20">
        <f t="shared" si="32"/>
        <v>0.76321734999711277</v>
      </c>
      <c r="T216" s="20">
        <f t="shared" si="33"/>
        <v>-0.42480132747546551</v>
      </c>
      <c r="U216" s="20">
        <f t="shared" si="34"/>
        <v>-6.4127945192392044</v>
      </c>
      <c r="V216" s="20">
        <f t="shared" si="35"/>
        <v>-118.58455076144263</v>
      </c>
      <c r="W216" s="20">
        <f t="shared" si="36"/>
        <v>1.0011225629137246</v>
      </c>
      <c r="X216" s="20">
        <f t="shared" si="37"/>
        <v>0.48633494274860284</v>
      </c>
      <c r="Y216" s="20">
        <f t="shared" si="38"/>
        <v>-6.4133576623796742</v>
      </c>
      <c r="Z216" s="20">
        <f t="shared" si="39"/>
        <v>102.07774505972475</v>
      </c>
    </row>
    <row r="217" spans="2:26" x14ac:dyDescent="0.25">
      <c r="B217" s="6">
        <v>3715000000</v>
      </c>
      <c r="C217" s="6">
        <v>0.5897</v>
      </c>
      <c r="D217" s="6">
        <v>-16.059999999999999</v>
      </c>
      <c r="E217" s="6">
        <v>6.5869999999999997</v>
      </c>
      <c r="F217" s="6">
        <v>78.790000000000006</v>
      </c>
      <c r="G217" s="6">
        <v>4.617</v>
      </c>
      <c r="H217" s="6">
        <v>15.53</v>
      </c>
      <c r="I217" s="6">
        <v>2.8279999999999998</v>
      </c>
      <c r="J217" s="6">
        <v>39.520000000000003</v>
      </c>
      <c r="K217" s="6">
        <v>-1.2709999999999999</v>
      </c>
      <c r="L217" s="6">
        <v>-30.24</v>
      </c>
      <c r="M217" s="6">
        <v>-1.2709999999999999</v>
      </c>
      <c r="N217" s="6">
        <v>62.19</v>
      </c>
      <c r="O217" s="6">
        <v>2.2669999999999999</v>
      </c>
      <c r="P217" s="6">
        <v>20.52</v>
      </c>
      <c r="Q217" s="6">
        <v>-1.2709999999999999</v>
      </c>
      <c r="R217" s="6">
        <v>62.19</v>
      </c>
      <c r="S217" s="20">
        <f t="shared" si="32"/>
        <v>0.75485790479528891</v>
      </c>
      <c r="T217" s="20">
        <f t="shared" si="33"/>
        <v>-0.43003967080747413</v>
      </c>
      <c r="U217" s="20">
        <f t="shared" si="34"/>
        <v>-6.261281063029732</v>
      </c>
      <c r="V217" s="20">
        <f t="shared" si="35"/>
        <v>-119.13512981052642</v>
      </c>
      <c r="W217" s="20">
        <f t="shared" si="36"/>
        <v>1.10810980694163</v>
      </c>
      <c r="X217" s="20">
        <f t="shared" si="37"/>
        <v>0.48297012617839141</v>
      </c>
      <c r="Y217" s="20">
        <f t="shared" si="38"/>
        <v>-6.2612673740795408</v>
      </c>
      <c r="Z217" s="20">
        <f t="shared" si="39"/>
        <v>89.867749574797486</v>
      </c>
    </row>
    <row r="218" spans="2:26" x14ac:dyDescent="0.25">
      <c r="B218" s="6">
        <v>3802000000</v>
      </c>
      <c r="C218" s="6">
        <v>0.75560000000000005</v>
      </c>
      <c r="D218" s="6">
        <v>-12.57</v>
      </c>
      <c r="E218" s="6">
        <v>6.7190000000000003</v>
      </c>
      <c r="F218" s="6">
        <v>69.86</v>
      </c>
      <c r="G218" s="6">
        <v>4.9059999999999997</v>
      </c>
      <c r="H218" s="6">
        <v>12.65</v>
      </c>
      <c r="I218" s="6">
        <v>2.2839999999999998</v>
      </c>
      <c r="J218" s="6">
        <v>34.29</v>
      </c>
      <c r="K218" s="6">
        <v>-1.3220000000000001</v>
      </c>
      <c r="L218" s="6">
        <v>-30.82</v>
      </c>
      <c r="M218" s="6">
        <v>-1.323</v>
      </c>
      <c r="N218" s="6">
        <v>55.37</v>
      </c>
      <c r="O218" s="6">
        <v>2.7869999999999999</v>
      </c>
      <c r="P218" s="6">
        <v>16.93</v>
      </c>
      <c r="Q218" s="6">
        <v>-1.323</v>
      </c>
      <c r="R218" s="6">
        <v>55.37</v>
      </c>
      <c r="S218" s="20">
        <f t="shared" si="32"/>
        <v>0.74632028513515525</v>
      </c>
      <c r="T218" s="20">
        <f t="shared" si="33"/>
        <v>-0.43506658572444346</v>
      </c>
      <c r="U218" s="20">
        <f t="shared" si="34"/>
        <v>-6.1078292836243664</v>
      </c>
      <c r="V218" s="20">
        <f t="shared" si="35"/>
        <v>-119.68509936169961</v>
      </c>
      <c r="W218" s="20">
        <f t="shared" si="36"/>
        <v>1.2158525659984905</v>
      </c>
      <c r="X218" s="20">
        <f t="shared" si="37"/>
        <v>0.45507245124430767</v>
      </c>
      <c r="Y218" s="20">
        <f t="shared" si="38"/>
        <v>-6.1092632713461006</v>
      </c>
      <c r="Z218" s="20">
        <f t="shared" si="39"/>
        <v>77.3826923409827</v>
      </c>
    </row>
    <row r="219" spans="2:26" x14ac:dyDescent="0.25">
      <c r="B219" s="6">
        <v>3890000000</v>
      </c>
      <c r="C219" s="6">
        <v>1.127</v>
      </c>
      <c r="D219" s="6">
        <v>-9.7560000000000002</v>
      </c>
      <c r="E219" s="6">
        <v>6.7569999999999997</v>
      </c>
      <c r="F219" s="6">
        <v>60.49</v>
      </c>
      <c r="G219" s="6">
        <v>5.117</v>
      </c>
      <c r="H219" s="6">
        <v>9.8350000000000009</v>
      </c>
      <c r="I219" s="6">
        <v>1.806</v>
      </c>
      <c r="J219" s="6">
        <v>29.48</v>
      </c>
      <c r="K219" s="6">
        <v>-1.375</v>
      </c>
      <c r="L219" s="6">
        <v>-31.41</v>
      </c>
      <c r="M219" s="6">
        <v>-1.3759999999999999</v>
      </c>
      <c r="N219" s="6">
        <v>48.41</v>
      </c>
      <c r="O219" s="6">
        <v>3.2029999999999998</v>
      </c>
      <c r="P219" s="6">
        <v>12.88</v>
      </c>
      <c r="Q219" s="6">
        <v>-1.3759999999999999</v>
      </c>
      <c r="R219" s="6">
        <v>48.41</v>
      </c>
      <c r="S219" s="20">
        <f t="shared" si="32"/>
        <v>0.73753474051822265</v>
      </c>
      <c r="T219" s="20">
        <f t="shared" si="33"/>
        <v>-0.44000795155951394</v>
      </c>
      <c r="U219" s="20">
        <f t="shared" si="34"/>
        <v>-5.9578853648647314</v>
      </c>
      <c r="V219" s="20">
        <f t="shared" si="35"/>
        <v>-120.24571330821577</v>
      </c>
      <c r="W219" s="20">
        <f t="shared" si="36"/>
        <v>1.3185851464388065</v>
      </c>
      <c r="X219" s="20">
        <f t="shared" si="37"/>
        <v>0.40137105853186733</v>
      </c>
      <c r="Y219" s="20">
        <f t="shared" si="38"/>
        <v>-5.9570817947613257</v>
      </c>
      <c r="Z219" s="20">
        <f t="shared" si="39"/>
        <v>64.623811727671281</v>
      </c>
    </row>
    <row r="220" spans="2:26" x14ac:dyDescent="0.25">
      <c r="B220" s="6">
        <v>3981000000</v>
      </c>
      <c r="C220" s="6">
        <v>1.6319999999999999</v>
      </c>
      <c r="D220" s="6">
        <v>-8.1620000000000008</v>
      </c>
      <c r="E220" s="6">
        <v>6.6879999999999997</v>
      </c>
      <c r="F220" s="6">
        <v>50.87</v>
      </c>
      <c r="G220" s="6">
        <v>5.2679999999999998</v>
      </c>
      <c r="H220" s="6">
        <v>7.093</v>
      </c>
      <c r="I220" s="6">
        <v>1.405</v>
      </c>
      <c r="J220" s="6">
        <v>24.98</v>
      </c>
      <c r="K220" s="6">
        <v>-1.429</v>
      </c>
      <c r="L220" s="6">
        <v>-32.01</v>
      </c>
      <c r="M220" s="6">
        <v>-1.4319999999999999</v>
      </c>
      <c r="N220" s="6">
        <v>41.29</v>
      </c>
      <c r="O220" s="6">
        <v>3.512</v>
      </c>
      <c r="P220" s="6">
        <v>8.4529999999999994</v>
      </c>
      <c r="Q220" s="6">
        <v>-1.4319999999999999</v>
      </c>
      <c r="R220" s="6">
        <v>41.29</v>
      </c>
      <c r="S220" s="20">
        <f t="shared" si="32"/>
        <v>0.72850593719559542</v>
      </c>
      <c r="T220" s="20">
        <f t="shared" si="33"/>
        <v>-0.44485646447364868</v>
      </c>
      <c r="U220" s="20">
        <f t="shared" si="34"/>
        <v>-5.8087894828214957</v>
      </c>
      <c r="V220" s="20">
        <f t="shared" si="35"/>
        <v>-120.81612604340354</v>
      </c>
      <c r="W220" s="20">
        <f t="shared" si="36"/>
        <v>1.4095579128769555</v>
      </c>
      <c r="X220" s="20">
        <f t="shared" si="37"/>
        <v>0.32231406163571164</v>
      </c>
      <c r="Y220" s="20">
        <f t="shared" si="38"/>
        <v>-5.807131800329338</v>
      </c>
      <c r="Z220" s="20">
        <f t="shared" si="39"/>
        <v>51.559485464084844</v>
      </c>
    </row>
    <row r="221" spans="2:26" x14ac:dyDescent="0.25">
      <c r="B221" s="6">
        <v>4074000000</v>
      </c>
      <c r="C221" s="6">
        <v>2.17</v>
      </c>
      <c r="D221" s="6">
        <v>-7.9329999999999998</v>
      </c>
      <c r="E221" s="6">
        <v>6.5069999999999997</v>
      </c>
      <c r="F221" s="6">
        <v>41.22</v>
      </c>
      <c r="G221" s="6">
        <v>5.37</v>
      </c>
      <c r="H221" s="6">
        <v>4.391</v>
      </c>
      <c r="I221" s="6">
        <v>1.0900000000000001</v>
      </c>
      <c r="J221" s="6">
        <v>20.68</v>
      </c>
      <c r="K221" s="6">
        <v>-1.486</v>
      </c>
      <c r="L221" s="6">
        <v>-32.61</v>
      </c>
      <c r="M221" s="6">
        <v>-1.49</v>
      </c>
      <c r="N221" s="6">
        <v>34.01</v>
      </c>
      <c r="O221" s="6">
        <v>3.71</v>
      </c>
      <c r="P221" s="6">
        <v>3.7069999999999999</v>
      </c>
      <c r="Q221" s="6">
        <v>-1.49</v>
      </c>
      <c r="R221" s="6">
        <v>34.01</v>
      </c>
      <c r="S221">
        <f t="shared" ref="S221:S252" si="40">10^(K220/20)*COS(PI()/180*L220)</f>
        <v>0.71932161394180816</v>
      </c>
      <c r="T221">
        <f t="shared" ref="T221:T252" si="41">10^(K220/20)*SIN(PI()/180*L220)</f>
        <v>-0.44965661569995108</v>
      </c>
      <c r="U221">
        <f t="shared" ref="U221:U252" si="42">10*LOG((S220-1)^2+T220^2)</f>
        <v>-5.6606016047216006</v>
      </c>
      <c r="V221">
        <f t="shared" ref="V221:V252" si="43">180/PI()*ATAN2((S220-1),T220)</f>
        <v>-121.39554427105976</v>
      </c>
      <c r="W221">
        <f t="shared" ref="W221:W252" si="44">10^(O220/20)*COS(PI()/180*P220)</f>
        <v>1.4820278013905654</v>
      </c>
      <c r="X221">
        <f t="shared" ref="X221:X252" si="45">10^(O220/20)*SIN(PI()/180*P220)</f>
        <v>0.22024782286105951</v>
      </c>
      <c r="Y221">
        <f t="shared" ref="Y221:Y252" si="46">10*LOG((W220-1)^2+X220^2)</f>
        <v>-5.6603179826729306</v>
      </c>
      <c r="Z221">
        <f t="shared" ref="Z221:Z252" si="47">180/PI()*ATAN2((W220-1),X220)</f>
        <v>38.202053091669782</v>
      </c>
    </row>
    <row r="222" spans="2:26" x14ac:dyDescent="0.25">
      <c r="B222" s="6">
        <v>4169000000</v>
      </c>
      <c r="C222" s="6">
        <v>2.6629999999999998</v>
      </c>
      <c r="D222" s="6">
        <v>-8.8859999999999992</v>
      </c>
      <c r="E222" s="6">
        <v>6.226</v>
      </c>
      <c r="F222" s="6">
        <v>31.78</v>
      </c>
      <c r="G222" s="6">
        <v>5.43</v>
      </c>
      <c r="H222" s="6">
        <v>1.694</v>
      </c>
      <c r="I222" s="6">
        <v>0.86709999999999998</v>
      </c>
      <c r="J222" s="6">
        <v>16.510000000000002</v>
      </c>
      <c r="K222" s="6">
        <v>-1.5449999999999999</v>
      </c>
      <c r="L222" s="6">
        <v>-33.22</v>
      </c>
      <c r="M222" s="6">
        <v>-1.55</v>
      </c>
      <c r="N222" s="6">
        <v>26.58</v>
      </c>
      <c r="O222" s="6">
        <v>3.79</v>
      </c>
      <c r="P222" s="6">
        <v>-1.3</v>
      </c>
      <c r="Q222" s="6">
        <v>-1.55</v>
      </c>
      <c r="R222" s="6">
        <v>26.58</v>
      </c>
      <c r="S222">
        <f t="shared" si="40"/>
        <v>0.70989952520671173</v>
      </c>
      <c r="T222">
        <f t="shared" si="41"/>
        <v>-0.45417428198011311</v>
      </c>
      <c r="U222">
        <f t="shared" si="42"/>
        <v>-5.5133784059469795</v>
      </c>
      <c r="V222">
        <f t="shared" si="43"/>
        <v>-121.97266019690871</v>
      </c>
      <c r="W222">
        <f t="shared" si="44"/>
        <v>1.5296440627352967</v>
      </c>
      <c r="X222">
        <f t="shared" si="45"/>
        <v>9.9105308571050238E-2</v>
      </c>
      <c r="Y222">
        <f t="shared" si="46"/>
        <v>-5.515102557147701</v>
      </c>
      <c r="Z222">
        <f t="shared" si="47"/>
        <v>24.556577336607251</v>
      </c>
    </row>
    <row r="223" spans="2:26" x14ac:dyDescent="0.25">
      <c r="B223" s="6">
        <v>4266000000</v>
      </c>
      <c r="C223" s="6">
        <v>3.0640000000000001</v>
      </c>
      <c r="D223" s="6">
        <v>-10.68</v>
      </c>
      <c r="E223" s="6">
        <v>5.8650000000000002</v>
      </c>
      <c r="F223" s="6">
        <v>22.7</v>
      </c>
      <c r="G223" s="6">
        <v>5.45</v>
      </c>
      <c r="H223" s="6">
        <v>-1.0469999999999999</v>
      </c>
      <c r="I223" s="6">
        <v>0.74509999999999998</v>
      </c>
      <c r="J223" s="6">
        <v>12.36</v>
      </c>
      <c r="K223" s="6">
        <v>-1.6060000000000001</v>
      </c>
      <c r="L223" s="6">
        <v>-33.83</v>
      </c>
      <c r="M223" s="6">
        <v>-1.6120000000000001</v>
      </c>
      <c r="N223" s="6">
        <v>18.98</v>
      </c>
      <c r="O223" s="6">
        <v>3.7429999999999999</v>
      </c>
      <c r="P223" s="6">
        <v>-6.5110000000000001</v>
      </c>
      <c r="Q223" s="6">
        <v>-1.6120000000000001</v>
      </c>
      <c r="R223" s="6">
        <v>18.98</v>
      </c>
      <c r="S223">
        <f t="shared" si="40"/>
        <v>0.70025127730632641</v>
      </c>
      <c r="T223">
        <f t="shared" si="41"/>
        <v>-0.4585807796847462</v>
      </c>
      <c r="U223">
        <f t="shared" si="42"/>
        <v>-5.3695469126476967</v>
      </c>
      <c r="V223">
        <f t="shared" si="43"/>
        <v>-122.56810572971357</v>
      </c>
      <c r="W223">
        <f t="shared" si="44"/>
        <v>1.5466363116891402</v>
      </c>
      <c r="X223">
        <f t="shared" si="45"/>
        <v>-3.5098087839668807E-2</v>
      </c>
      <c r="Y223">
        <f t="shared" si="46"/>
        <v>-5.3708610415530753</v>
      </c>
      <c r="Z223">
        <f t="shared" si="47"/>
        <v>10.598444399137716</v>
      </c>
    </row>
    <row r="224" spans="2:26" x14ac:dyDescent="0.25">
      <c r="B224" s="6">
        <v>4365000000</v>
      </c>
      <c r="C224" s="6">
        <v>3.3570000000000002</v>
      </c>
      <c r="D224" s="6">
        <v>-12.99</v>
      </c>
      <c r="E224" s="6">
        <v>5.4530000000000003</v>
      </c>
      <c r="F224" s="6">
        <v>14.11</v>
      </c>
      <c r="G224" s="6">
        <v>5.431</v>
      </c>
      <c r="H224" s="6">
        <v>-3.8879999999999999</v>
      </c>
      <c r="I224" s="6">
        <v>0.73229999999999995</v>
      </c>
      <c r="J224" s="6">
        <v>8.1389999999999993</v>
      </c>
      <c r="K224" s="6">
        <v>-1.67</v>
      </c>
      <c r="L224" s="6">
        <v>-34.46</v>
      </c>
      <c r="M224" s="6">
        <v>-1.675</v>
      </c>
      <c r="N224" s="6">
        <v>11.21</v>
      </c>
      <c r="O224" s="6">
        <v>3.5550000000000002</v>
      </c>
      <c r="P224" s="6">
        <v>-11.87</v>
      </c>
      <c r="Q224" s="6">
        <v>-1.675</v>
      </c>
      <c r="R224" s="6">
        <v>11.21</v>
      </c>
      <c r="S224">
        <f t="shared" si="40"/>
        <v>0.69046328866418849</v>
      </c>
      <c r="T224">
        <f t="shared" si="41"/>
        <v>-0.4627486121608938</v>
      </c>
      <c r="U224">
        <f t="shared" si="42"/>
        <v>-5.2266797794372399</v>
      </c>
      <c r="V224">
        <f t="shared" si="43"/>
        <v>-123.1704100286584</v>
      </c>
      <c r="W224">
        <f t="shared" si="44"/>
        <v>1.5287616270866045</v>
      </c>
      <c r="X224">
        <f t="shared" si="45"/>
        <v>-0.17447770363344969</v>
      </c>
      <c r="Y224">
        <f t="shared" si="46"/>
        <v>-5.228163083165196</v>
      </c>
      <c r="Z224">
        <f t="shared" si="47"/>
        <v>-3.6737692036397718</v>
      </c>
    </row>
    <row r="225" spans="2:26" x14ac:dyDescent="0.25">
      <c r="B225" s="6">
        <v>4467000000</v>
      </c>
      <c r="C225" s="6">
        <v>3.5470000000000002</v>
      </c>
      <c r="D225" s="6">
        <v>-15.55</v>
      </c>
      <c r="E225" s="6">
        <v>5.0209999999999999</v>
      </c>
      <c r="F225" s="6">
        <v>6.0359999999999996</v>
      </c>
      <c r="G225" s="6">
        <v>5.3659999999999997</v>
      </c>
      <c r="H225" s="6">
        <v>-6.899</v>
      </c>
      <c r="I225" s="6">
        <v>0.83819999999999995</v>
      </c>
      <c r="J225" s="6">
        <v>3.7250000000000001</v>
      </c>
      <c r="K225" s="6">
        <v>-1.7350000000000001</v>
      </c>
      <c r="L225" s="6">
        <v>-35.08</v>
      </c>
      <c r="M225" s="6">
        <v>-1.7410000000000001</v>
      </c>
      <c r="N225" s="6">
        <v>3.2770000000000001</v>
      </c>
      <c r="O225" s="6">
        <v>3.2080000000000002</v>
      </c>
      <c r="P225" s="6">
        <v>-17.29</v>
      </c>
      <c r="Q225" s="6">
        <v>-1.7410000000000001</v>
      </c>
      <c r="R225" s="6">
        <v>3.2770000000000001</v>
      </c>
      <c r="S225">
        <f t="shared" si="40"/>
        <v>0.6803023001222045</v>
      </c>
      <c r="T225">
        <f t="shared" si="41"/>
        <v>-0.46685987099147791</v>
      </c>
      <c r="U225">
        <f t="shared" si="42"/>
        <v>-5.0870940498125172</v>
      </c>
      <c r="V225">
        <f t="shared" si="43"/>
        <v>-123.77892057872772</v>
      </c>
      <c r="W225">
        <f t="shared" si="44"/>
        <v>1.473542531475537</v>
      </c>
      <c r="X225">
        <f t="shared" si="45"/>
        <v>-0.30971839641493842</v>
      </c>
      <c r="Y225">
        <f t="shared" si="46"/>
        <v>-5.0859442034173785</v>
      </c>
      <c r="Z225">
        <f t="shared" si="47"/>
        <v>-18.261557725701859</v>
      </c>
    </row>
    <row r="226" spans="2:26" x14ac:dyDescent="0.25">
      <c r="B226" s="6">
        <v>4571000000</v>
      </c>
      <c r="C226" s="6">
        <v>3.645</v>
      </c>
      <c r="D226" s="6">
        <v>-18.18</v>
      </c>
      <c r="E226" s="6">
        <v>4.5949999999999998</v>
      </c>
      <c r="F226" s="6">
        <v>-1.54</v>
      </c>
      <c r="G226" s="6">
        <v>5.242</v>
      </c>
      <c r="H226" s="6">
        <v>-10.17</v>
      </c>
      <c r="I226" s="6">
        <v>1.073</v>
      </c>
      <c r="J226" s="6">
        <v>-1.026</v>
      </c>
      <c r="K226" s="6">
        <v>-1.8029999999999999</v>
      </c>
      <c r="L226" s="6">
        <v>-35.71</v>
      </c>
      <c r="M226" s="6">
        <v>-1.8089999999999999</v>
      </c>
      <c r="N226" s="6">
        <v>-4.8330000000000002</v>
      </c>
      <c r="O226" s="6">
        <v>2.677</v>
      </c>
      <c r="P226" s="6">
        <v>-22.67</v>
      </c>
      <c r="Q226" s="6">
        <v>-1.8089999999999999</v>
      </c>
      <c r="R226" s="6">
        <v>-4.8330000000000002</v>
      </c>
      <c r="S226">
        <f t="shared" si="40"/>
        <v>0.67017664591985815</v>
      </c>
      <c r="T226">
        <f t="shared" si="41"/>
        <v>-0.47065863422005449</v>
      </c>
      <c r="U226">
        <f t="shared" si="42"/>
        <v>-4.9462647395733219</v>
      </c>
      <c r="V226">
        <f t="shared" si="43"/>
        <v>-124.40267985391444</v>
      </c>
      <c r="W226">
        <f t="shared" si="44"/>
        <v>1.3813959578760009</v>
      </c>
      <c r="X226">
        <f t="shared" si="45"/>
        <v>-0.42999245459809482</v>
      </c>
      <c r="Y226">
        <f t="shared" si="46"/>
        <v>-4.9462205765366036</v>
      </c>
      <c r="Z226">
        <f t="shared" si="47"/>
        <v>-33.18651496802245</v>
      </c>
    </row>
    <row r="227" spans="2:26" x14ac:dyDescent="0.25">
      <c r="B227" s="6">
        <v>4677000000</v>
      </c>
      <c r="C227" s="6">
        <v>3.6659999999999999</v>
      </c>
      <c r="D227" s="6">
        <v>-20.78</v>
      </c>
      <c r="E227" s="6">
        <v>4.1989999999999998</v>
      </c>
      <c r="F227" s="6">
        <v>-8.6739999999999995</v>
      </c>
      <c r="G227" s="6">
        <v>5.0369999999999999</v>
      </c>
      <c r="H227" s="6">
        <v>-13.81</v>
      </c>
      <c r="I227" s="6">
        <v>1.4490000000000001</v>
      </c>
      <c r="J227" s="6">
        <v>-6.3090000000000002</v>
      </c>
      <c r="K227" s="6">
        <v>-1.8740000000000001</v>
      </c>
      <c r="L227" s="6">
        <v>-36.340000000000003</v>
      </c>
      <c r="M227" s="6">
        <v>-1.8779999999999999</v>
      </c>
      <c r="N227" s="6">
        <v>-13.12</v>
      </c>
      <c r="O227" s="6">
        <v>1.9259999999999999</v>
      </c>
      <c r="P227" s="6">
        <v>-27.87</v>
      </c>
      <c r="Q227" s="6">
        <v>-1.8779999999999999</v>
      </c>
      <c r="R227" s="6">
        <v>-13.12</v>
      </c>
      <c r="S227">
        <f t="shared" si="40"/>
        <v>0.65977556004019522</v>
      </c>
      <c r="T227">
        <f t="shared" si="41"/>
        <v>-0.47427146773914947</v>
      </c>
      <c r="U227">
        <f t="shared" si="42"/>
        <v>-4.810874885356883</v>
      </c>
      <c r="V227">
        <f t="shared" si="43"/>
        <v>-125.02161079601331</v>
      </c>
      <c r="W227">
        <f t="shared" si="44"/>
        <v>1.2558256757651263</v>
      </c>
      <c r="X227">
        <f t="shared" si="45"/>
        <v>-0.52455082055224955</v>
      </c>
      <c r="Y227">
        <f t="shared" si="46"/>
        <v>-4.8101729135584668</v>
      </c>
      <c r="Z227">
        <f t="shared" si="47"/>
        <v>-48.427522407333662</v>
      </c>
    </row>
    <row r="228" spans="2:26" x14ac:dyDescent="0.25">
      <c r="B228" s="6">
        <v>4786000000</v>
      </c>
      <c r="C228" s="6">
        <v>3.62</v>
      </c>
      <c r="D228" s="6">
        <v>-23.28</v>
      </c>
      <c r="E228" s="6">
        <v>3.8519999999999999</v>
      </c>
      <c r="F228" s="6">
        <v>-15.45</v>
      </c>
      <c r="G228" s="6">
        <v>4.7069999999999999</v>
      </c>
      <c r="H228" s="6">
        <v>-17.95</v>
      </c>
      <c r="I228" s="6">
        <v>1.9750000000000001</v>
      </c>
      <c r="J228" s="6">
        <v>-12.39</v>
      </c>
      <c r="K228" s="6">
        <v>-1.946</v>
      </c>
      <c r="L228" s="6">
        <v>-36.97</v>
      </c>
      <c r="M228" s="6">
        <v>-1.95</v>
      </c>
      <c r="N228" s="6">
        <v>-21.59</v>
      </c>
      <c r="O228" s="6">
        <v>0.90239999999999998</v>
      </c>
      <c r="P228" s="6">
        <v>-32.61</v>
      </c>
      <c r="Q228" s="6">
        <v>-1.95</v>
      </c>
      <c r="R228" s="6">
        <v>-21.59</v>
      </c>
      <c r="S228">
        <f t="shared" si="40"/>
        <v>0.64919253152715406</v>
      </c>
      <c r="T228">
        <f t="shared" si="41"/>
        <v>-0.47757746120197814</v>
      </c>
      <c r="U228">
        <f t="shared" si="42"/>
        <v>-4.6764559210514127</v>
      </c>
      <c r="V228">
        <f t="shared" si="43"/>
        <v>-125.65422844465604</v>
      </c>
      <c r="W228">
        <f t="shared" si="44"/>
        <v>1.1034621260112636</v>
      </c>
      <c r="X228">
        <f t="shared" si="45"/>
        <v>-0.58351358136019049</v>
      </c>
      <c r="Y228">
        <f t="shared" si="46"/>
        <v>-4.6775492319775749</v>
      </c>
      <c r="Z228">
        <f t="shared" si="47"/>
        <v>-64.001310681548276</v>
      </c>
    </row>
    <row r="229" spans="2:26" x14ac:dyDescent="0.25">
      <c r="B229" s="6">
        <v>4898000000</v>
      </c>
      <c r="C229" s="6">
        <v>3.5179999999999998</v>
      </c>
      <c r="D229" s="6">
        <v>-25.65</v>
      </c>
      <c r="E229" s="6">
        <v>3.57</v>
      </c>
      <c r="F229" s="6">
        <v>-21.96</v>
      </c>
      <c r="G229" s="6">
        <v>4.1710000000000003</v>
      </c>
      <c r="H229" s="6">
        <v>-22.75</v>
      </c>
      <c r="I229" s="6">
        <v>2.6549999999999998</v>
      </c>
      <c r="J229" s="6">
        <v>-19.670000000000002</v>
      </c>
      <c r="K229" s="6">
        <v>-2.0209999999999999</v>
      </c>
      <c r="L229" s="6">
        <v>-37.6</v>
      </c>
      <c r="M229" s="6">
        <v>-2.0230000000000001</v>
      </c>
      <c r="N229" s="6">
        <v>-30.25</v>
      </c>
      <c r="O229" s="6">
        <v>-0.47020000000000001</v>
      </c>
      <c r="P229" s="6">
        <v>-36.4</v>
      </c>
      <c r="Q229" s="6">
        <v>-2.0230000000000001</v>
      </c>
      <c r="R229" s="6">
        <v>-30.25</v>
      </c>
      <c r="S229">
        <f t="shared" si="40"/>
        <v>0.63858671362007557</v>
      </c>
      <c r="T229">
        <f t="shared" si="41"/>
        <v>-0.48068558182840626</v>
      </c>
      <c r="U229">
        <f t="shared" si="42"/>
        <v>-4.545121366272328</v>
      </c>
      <c r="V229">
        <f t="shared" si="43"/>
        <v>-126.29937244128648</v>
      </c>
      <c r="W229">
        <f t="shared" si="44"/>
        <v>0.93458086684688702</v>
      </c>
      <c r="X229">
        <f t="shared" si="45"/>
        <v>-0.59791925347314423</v>
      </c>
      <c r="Y229">
        <f t="shared" si="46"/>
        <v>-4.5445475358786407</v>
      </c>
      <c r="Z229">
        <f t="shared" si="47"/>
        <v>-79.945448189691504</v>
      </c>
    </row>
    <row r="230" spans="2:26" x14ac:dyDescent="0.25">
      <c r="B230" s="6">
        <v>5012000000</v>
      </c>
      <c r="C230" s="6">
        <v>3.3650000000000002</v>
      </c>
      <c r="D230" s="6">
        <v>-27.88</v>
      </c>
      <c r="E230" s="6">
        <v>3.3660000000000001</v>
      </c>
      <c r="F230" s="6">
        <v>-28.31</v>
      </c>
      <c r="G230" s="6">
        <v>3.2650000000000001</v>
      </c>
      <c r="H230" s="6">
        <v>-28.25</v>
      </c>
      <c r="I230" s="6">
        <v>3.472</v>
      </c>
      <c r="J230" s="6">
        <v>-28.69</v>
      </c>
      <c r="K230" s="6">
        <v>-2.0979999999999999</v>
      </c>
      <c r="L230" s="6">
        <v>-38.24</v>
      </c>
      <c r="M230" s="6">
        <v>-2.0979999999999999</v>
      </c>
      <c r="N230" s="6">
        <v>-39.090000000000003</v>
      </c>
      <c r="O230" s="6">
        <v>-2.3039999999999998</v>
      </c>
      <c r="P230" s="6">
        <v>-38.22</v>
      </c>
      <c r="Q230" s="6">
        <v>-2.0979999999999999</v>
      </c>
      <c r="R230" s="6">
        <v>-39.090000000000003</v>
      </c>
      <c r="S230">
        <f t="shared" si="40"/>
        <v>0.62781831206961747</v>
      </c>
      <c r="T230">
        <f t="shared" si="41"/>
        <v>-0.4834851876843283</v>
      </c>
      <c r="U230">
        <f t="shared" si="42"/>
        <v>-4.4167767679159304</v>
      </c>
      <c r="V230">
        <f t="shared" si="43"/>
        <v>-126.93842430559351</v>
      </c>
      <c r="W230">
        <f t="shared" si="44"/>
        <v>0.76248021791614629</v>
      </c>
      <c r="X230">
        <f t="shared" si="45"/>
        <v>-0.56214889897215903</v>
      </c>
      <c r="Y230">
        <f t="shared" si="46"/>
        <v>-4.4154692656094916</v>
      </c>
      <c r="Z230">
        <f t="shared" si="47"/>
        <v>-96.243970568109972</v>
      </c>
    </row>
    <row r="231" spans="2:26" x14ac:dyDescent="0.25">
      <c r="B231" s="6">
        <v>5129000000</v>
      </c>
      <c r="C231" s="6">
        <v>3.1629999999999998</v>
      </c>
      <c r="D231" s="6">
        <v>-29.95</v>
      </c>
      <c r="E231" s="6">
        <v>3.25</v>
      </c>
      <c r="F231" s="6">
        <v>-34.61</v>
      </c>
      <c r="G231" s="6">
        <v>1.65</v>
      </c>
      <c r="H231" s="6">
        <v>-33.880000000000003</v>
      </c>
      <c r="I231" s="6">
        <v>4.359</v>
      </c>
      <c r="J231" s="6">
        <v>-40.19</v>
      </c>
      <c r="K231" s="6">
        <v>-2.177</v>
      </c>
      <c r="L231" s="6">
        <v>-38.869999999999997</v>
      </c>
      <c r="M231" s="6">
        <v>-2.1749999999999998</v>
      </c>
      <c r="N231" s="6">
        <v>-48.14</v>
      </c>
      <c r="O231" s="6">
        <v>-4.7279999999999998</v>
      </c>
      <c r="P231" s="6">
        <v>-35.67</v>
      </c>
      <c r="Q231" s="6">
        <v>-2.1749999999999998</v>
      </c>
      <c r="R231" s="6">
        <v>-48.14</v>
      </c>
      <c r="S231">
        <f t="shared" si="40"/>
        <v>0.61688570252673924</v>
      </c>
      <c r="T231">
        <f t="shared" si="41"/>
        <v>-0.48613892023168548</v>
      </c>
      <c r="U231">
        <f t="shared" si="42"/>
        <v>-4.2913363639339188</v>
      </c>
      <c r="V231">
        <f t="shared" si="43"/>
        <v>-127.58868890854744</v>
      </c>
      <c r="W231">
        <f t="shared" si="44"/>
        <v>0.60259306428607751</v>
      </c>
      <c r="X231">
        <f t="shared" si="45"/>
        <v>-0.47453467614411238</v>
      </c>
      <c r="Y231">
        <f t="shared" si="46"/>
        <v>-4.2895880458695572</v>
      </c>
      <c r="Z231">
        <f t="shared" si="47"/>
        <v>-112.90508456563299</v>
      </c>
    </row>
    <row r="232" spans="2:26" x14ac:dyDescent="0.25">
      <c r="B232" s="6">
        <v>5248000000</v>
      </c>
      <c r="C232" s="6">
        <v>2.911</v>
      </c>
      <c r="D232" s="6">
        <v>-31.83</v>
      </c>
      <c r="E232" s="6">
        <v>3.2330000000000001</v>
      </c>
      <c r="F232" s="6">
        <v>-40.99</v>
      </c>
      <c r="G232" s="6">
        <v>-1.377</v>
      </c>
      <c r="H232" s="6">
        <v>-35.89</v>
      </c>
      <c r="I232" s="6">
        <v>5.149</v>
      </c>
      <c r="J232" s="6">
        <v>-54.86</v>
      </c>
      <c r="K232" s="6">
        <v>-2.2570000000000001</v>
      </c>
      <c r="L232" s="6">
        <v>-39.51</v>
      </c>
      <c r="M232" s="6">
        <v>-2.2530000000000001</v>
      </c>
      <c r="N232" s="6">
        <v>-57.38</v>
      </c>
      <c r="O232" s="6">
        <v>-7.5830000000000002</v>
      </c>
      <c r="P232" s="6">
        <v>-22.87</v>
      </c>
      <c r="Q232" s="6">
        <v>-2.2530000000000001</v>
      </c>
      <c r="R232" s="6">
        <v>-57.38</v>
      </c>
      <c r="S232">
        <f t="shared" si="40"/>
        <v>0.60596660840272309</v>
      </c>
      <c r="T232">
        <f t="shared" si="41"/>
        <v>-0.48842977322834807</v>
      </c>
      <c r="U232">
        <f t="shared" si="42"/>
        <v>-4.1667921584242258</v>
      </c>
      <c r="V232">
        <f t="shared" si="43"/>
        <v>-128.24078762493471</v>
      </c>
      <c r="W232">
        <f t="shared" si="44"/>
        <v>0.47137224954536261</v>
      </c>
      <c r="X232">
        <f t="shared" si="45"/>
        <v>-0.33834121346233759</v>
      </c>
      <c r="Y232">
        <f t="shared" si="46"/>
        <v>-4.166703548189032</v>
      </c>
      <c r="Z232">
        <f t="shared" si="47"/>
        <v>-129.94504873550071</v>
      </c>
    </row>
    <row r="233" spans="2:26" x14ac:dyDescent="0.25">
      <c r="B233" s="6">
        <v>5370000000</v>
      </c>
      <c r="C233" s="6">
        <v>2.605</v>
      </c>
      <c r="D233" s="6">
        <v>-33.47</v>
      </c>
      <c r="E233" s="6">
        <v>3.323</v>
      </c>
      <c r="F233" s="6">
        <v>-47.58</v>
      </c>
      <c r="G233" s="6">
        <v>-6.0579999999999998</v>
      </c>
      <c r="H233" s="6">
        <v>-13.95</v>
      </c>
      <c r="I233" s="6">
        <v>5.5540000000000003</v>
      </c>
      <c r="J233" s="6">
        <v>-72.62</v>
      </c>
      <c r="K233" s="6">
        <v>-2.34</v>
      </c>
      <c r="L233" s="6">
        <v>-40.15</v>
      </c>
      <c r="M233" s="6">
        <v>-2.3340000000000001</v>
      </c>
      <c r="N233" s="6">
        <v>-66.83</v>
      </c>
      <c r="O233" s="6">
        <v>-8.9090000000000007</v>
      </c>
      <c r="P233" s="6">
        <v>6.242</v>
      </c>
      <c r="Q233" s="6">
        <v>-2.3340000000000001</v>
      </c>
      <c r="R233" s="6">
        <v>-66.83</v>
      </c>
      <c r="S233">
        <f t="shared" si="40"/>
        <v>0.59496793517430158</v>
      </c>
      <c r="T233">
        <f t="shared" si="41"/>
        <v>-0.49062814741073424</v>
      </c>
      <c r="U233">
        <f t="shared" si="42"/>
        <v>-4.0469566290444963</v>
      </c>
      <c r="V233">
        <f t="shared" si="43"/>
        <v>-128.89433332876294</v>
      </c>
      <c r="W233">
        <f t="shared" si="44"/>
        <v>0.38485136785542934</v>
      </c>
      <c r="X233">
        <f t="shared" si="45"/>
        <v>-0.16233017117315687</v>
      </c>
      <c r="Y233">
        <f t="shared" si="46"/>
        <v>-4.0458968077313493</v>
      </c>
      <c r="Z233">
        <f t="shared" si="47"/>
        <v>-147.37926117560949</v>
      </c>
    </row>
    <row r="234" spans="2:26" x14ac:dyDescent="0.25">
      <c r="B234" s="6">
        <v>5495000000</v>
      </c>
      <c r="C234" s="6">
        <v>2.2389999999999999</v>
      </c>
      <c r="D234" s="6">
        <v>-34.799999999999997</v>
      </c>
      <c r="E234" s="6">
        <v>3.5270000000000001</v>
      </c>
      <c r="F234" s="6">
        <v>-54.57</v>
      </c>
      <c r="G234" s="6">
        <v>-3.8069999999999999</v>
      </c>
      <c r="H234" s="6">
        <v>31.99</v>
      </c>
      <c r="I234" s="6">
        <v>5.3029999999999999</v>
      </c>
      <c r="J234" s="6">
        <v>-91.69</v>
      </c>
      <c r="K234" s="6">
        <v>-2.4239999999999999</v>
      </c>
      <c r="L234" s="6">
        <v>-40.79</v>
      </c>
      <c r="M234" s="6">
        <v>-2.4159999999999999</v>
      </c>
      <c r="N234" s="6">
        <v>-76.489999999999995</v>
      </c>
      <c r="O234" s="6">
        <v>-6.6440000000000001</v>
      </c>
      <c r="P234" s="6">
        <v>31.94</v>
      </c>
      <c r="Q234" s="6">
        <v>-2.4159999999999999</v>
      </c>
      <c r="R234" s="6">
        <v>-76.489999999999995</v>
      </c>
      <c r="S234">
        <f t="shared" si="40"/>
        <v>0.58384476014736408</v>
      </c>
      <c r="T234">
        <f t="shared" si="41"/>
        <v>-0.49251436559983869</v>
      </c>
      <c r="U234">
        <f t="shared" si="42"/>
        <v>-3.9279495294434081</v>
      </c>
      <c r="V234">
        <f t="shared" si="43"/>
        <v>-129.54095992765068</v>
      </c>
      <c r="W234">
        <f t="shared" si="44"/>
        <v>0.35642457098393371</v>
      </c>
      <c r="X234">
        <f t="shared" si="45"/>
        <v>3.8984476651680387E-2</v>
      </c>
      <c r="Y234">
        <f t="shared" si="46"/>
        <v>-3.9280356716823643</v>
      </c>
      <c r="Z234">
        <f t="shared" si="47"/>
        <v>-165.21733646729996</v>
      </c>
    </row>
    <row r="235" spans="2:26" x14ac:dyDescent="0.25">
      <c r="B235" s="6">
        <v>5623000000</v>
      </c>
      <c r="C235" s="6">
        <v>1.806</v>
      </c>
      <c r="D235" s="6">
        <v>-35.65</v>
      </c>
      <c r="E235" s="6">
        <v>3.8490000000000002</v>
      </c>
      <c r="F235" s="6">
        <v>-62.16</v>
      </c>
      <c r="G235" s="6">
        <v>0.58879999999999999</v>
      </c>
      <c r="H235" s="6">
        <v>37.49</v>
      </c>
      <c r="I235" s="6">
        <v>4.4169999999999998</v>
      </c>
      <c r="J235" s="6">
        <v>-109.3</v>
      </c>
      <c r="K235" s="6">
        <v>-2.5089999999999999</v>
      </c>
      <c r="L235" s="6">
        <v>-41.43</v>
      </c>
      <c r="M235" s="6">
        <v>-2.5009999999999999</v>
      </c>
      <c r="N235" s="6">
        <v>-86.37</v>
      </c>
      <c r="O235" s="6">
        <v>-3.5379999999999998</v>
      </c>
      <c r="P235" s="6">
        <v>40.96</v>
      </c>
      <c r="Q235" s="6">
        <v>-2.5009999999999999</v>
      </c>
      <c r="R235" s="6">
        <v>-86.37</v>
      </c>
      <c r="S235">
        <f t="shared" si="40"/>
        <v>0.57274124473059662</v>
      </c>
      <c r="T235">
        <f t="shared" si="41"/>
        <v>-0.494202565561218</v>
      </c>
      <c r="U235">
        <f t="shared" si="42"/>
        <v>-3.8116190909584362</v>
      </c>
      <c r="V235">
        <f t="shared" si="43"/>
        <v>-130.19649324240953</v>
      </c>
      <c r="W235">
        <f t="shared" si="44"/>
        <v>0.39491564417282654</v>
      </c>
      <c r="X235">
        <f t="shared" si="45"/>
        <v>0.24619602648818037</v>
      </c>
      <c r="Y235">
        <f t="shared" si="46"/>
        <v>-3.8121044530210741</v>
      </c>
      <c r="Z235">
        <f t="shared" si="47"/>
        <v>176.53355318340346</v>
      </c>
    </row>
    <row r="236" spans="2:26" x14ac:dyDescent="0.25">
      <c r="B236" s="6">
        <v>5754000000</v>
      </c>
      <c r="C236" s="6">
        <v>1.304</v>
      </c>
      <c r="D236" s="6">
        <v>-35.729999999999997</v>
      </c>
      <c r="E236" s="6">
        <v>4.2850000000000001</v>
      </c>
      <c r="F236" s="6">
        <v>-70.64</v>
      </c>
      <c r="G236" s="6">
        <v>2.9609999999999999</v>
      </c>
      <c r="H236" s="6">
        <v>31.64</v>
      </c>
      <c r="I236" s="6">
        <v>3.1909999999999998</v>
      </c>
      <c r="J236" s="6">
        <v>-123.7</v>
      </c>
      <c r="K236" s="6">
        <v>-2.5960000000000001</v>
      </c>
      <c r="L236" s="6">
        <v>-42.08</v>
      </c>
      <c r="M236" s="6">
        <v>-2.589</v>
      </c>
      <c r="N236" s="6">
        <v>-96.46</v>
      </c>
      <c r="O236" s="6">
        <v>-0.996</v>
      </c>
      <c r="P236" s="6">
        <v>41</v>
      </c>
      <c r="Q236" s="6">
        <v>-2.589</v>
      </c>
      <c r="R236" s="6">
        <v>-96.46</v>
      </c>
      <c r="S236">
        <f t="shared" si="40"/>
        <v>0.56166193535238174</v>
      </c>
      <c r="T236">
        <f t="shared" si="41"/>
        <v>-0.49569451011034188</v>
      </c>
      <c r="U236">
        <f t="shared" si="42"/>
        <v>-3.6978961168920685</v>
      </c>
      <c r="V236">
        <f t="shared" si="43"/>
        <v>-130.84478377471154</v>
      </c>
      <c r="W236">
        <f t="shared" si="44"/>
        <v>0.5025083010496505</v>
      </c>
      <c r="X236">
        <f t="shared" si="45"/>
        <v>0.43620826007183927</v>
      </c>
      <c r="Y236">
        <f t="shared" si="46"/>
        <v>-3.6983709376590621</v>
      </c>
      <c r="Z236">
        <f t="shared" si="47"/>
        <v>157.85963208012697</v>
      </c>
    </row>
    <row r="237" spans="2:26" x14ac:dyDescent="0.25">
      <c r="B237" s="6">
        <v>5888000000</v>
      </c>
      <c r="C237" s="6">
        <v>0.75980000000000003</v>
      </c>
      <c r="D237" s="6">
        <v>-34.57</v>
      </c>
      <c r="E237" s="6">
        <v>4.8159999999999998</v>
      </c>
      <c r="F237" s="6">
        <v>-80.349999999999994</v>
      </c>
      <c r="G237" s="6">
        <v>4.2169999999999996</v>
      </c>
      <c r="H237" s="6">
        <v>24.75</v>
      </c>
      <c r="I237" s="6">
        <v>1.9159999999999999</v>
      </c>
      <c r="J237" s="6">
        <v>-135.1</v>
      </c>
      <c r="K237" s="6">
        <v>-2.6859999999999999</v>
      </c>
      <c r="L237" s="6">
        <v>-42.73</v>
      </c>
      <c r="M237" s="6">
        <v>-2.6789999999999998</v>
      </c>
      <c r="N237" s="6">
        <v>-106.8</v>
      </c>
      <c r="O237" s="6">
        <v>0.94540000000000002</v>
      </c>
      <c r="P237" s="6">
        <v>36.92</v>
      </c>
      <c r="Q237" s="6">
        <v>-2.6789999999999998</v>
      </c>
      <c r="R237" s="6">
        <v>-106.8</v>
      </c>
      <c r="S237">
        <f t="shared" si="40"/>
        <v>0.55046117825407737</v>
      </c>
      <c r="T237">
        <f t="shared" si="41"/>
        <v>-0.49703092871849203</v>
      </c>
      <c r="U237">
        <f t="shared" si="42"/>
        <v>-3.586713665443976</v>
      </c>
      <c r="V237">
        <f t="shared" si="43"/>
        <v>-131.48603168797365</v>
      </c>
      <c r="W237">
        <f t="shared" si="44"/>
        <v>0.6729454528788984</v>
      </c>
      <c r="X237">
        <f t="shared" si="45"/>
        <v>0.58498255746136085</v>
      </c>
      <c r="Y237">
        <f t="shared" si="46"/>
        <v>-3.5874841168109484</v>
      </c>
      <c r="Z237">
        <f t="shared" si="47"/>
        <v>138.75522479900241</v>
      </c>
    </row>
    <row r="238" spans="2:26" x14ac:dyDescent="0.25">
      <c r="B238" s="6">
        <v>6026000000</v>
      </c>
      <c r="C238" s="6">
        <v>0.26919999999999999</v>
      </c>
      <c r="D238" s="6">
        <v>-31.61</v>
      </c>
      <c r="E238" s="6">
        <v>5.3970000000000002</v>
      </c>
      <c r="F238" s="6">
        <v>-91.68</v>
      </c>
      <c r="G238" s="6">
        <v>4.9130000000000003</v>
      </c>
      <c r="H238" s="6">
        <v>18.559999999999999</v>
      </c>
      <c r="I238" s="6">
        <v>0.76019999999999999</v>
      </c>
      <c r="J238" s="6">
        <v>-144.1</v>
      </c>
      <c r="K238" s="6">
        <v>-2.7770000000000001</v>
      </c>
      <c r="L238" s="6">
        <v>-43.39</v>
      </c>
      <c r="M238" s="6">
        <v>-2.7730000000000001</v>
      </c>
      <c r="N238" s="6">
        <v>-117.3</v>
      </c>
      <c r="O238" s="6">
        <v>2.4049999999999998</v>
      </c>
      <c r="P238" s="6">
        <v>30.72</v>
      </c>
      <c r="Q238" s="6">
        <v>-2.7730000000000001</v>
      </c>
      <c r="R238" s="6">
        <v>-117.3</v>
      </c>
      <c r="S238">
        <f t="shared" si="40"/>
        <v>0.53917149911175222</v>
      </c>
      <c r="T238">
        <f t="shared" si="41"/>
        <v>-0.49805609145055058</v>
      </c>
      <c r="U238">
        <f t="shared" si="42"/>
        <v>-3.4763287000552183</v>
      </c>
      <c r="V238">
        <f t="shared" si="43"/>
        <v>-132.12771568693904</v>
      </c>
      <c r="W238">
        <f t="shared" si="44"/>
        <v>0.89140466075359348</v>
      </c>
      <c r="X238">
        <f t="shared" si="45"/>
        <v>0.66977224789175849</v>
      </c>
      <c r="Y238">
        <f t="shared" si="46"/>
        <v>-3.4758996438389325</v>
      </c>
      <c r="Z238">
        <f t="shared" si="47"/>
        <v>119.20886908460753</v>
      </c>
    </row>
    <row r="239" spans="2:26" x14ac:dyDescent="0.25">
      <c r="B239" s="6">
        <v>6166000000</v>
      </c>
      <c r="C239" s="6">
        <v>5.357E-2</v>
      </c>
      <c r="D239" s="6">
        <v>-26.72</v>
      </c>
      <c r="E239" s="6">
        <v>5.9379999999999997</v>
      </c>
      <c r="F239" s="6">
        <v>-105</v>
      </c>
      <c r="G239" s="6">
        <v>5.3150000000000004</v>
      </c>
      <c r="H239" s="6">
        <v>13.17</v>
      </c>
      <c r="I239" s="6">
        <v>-0.2034</v>
      </c>
      <c r="J239" s="6">
        <v>-151.6</v>
      </c>
      <c r="K239" s="6">
        <v>-2.871</v>
      </c>
      <c r="L239" s="6">
        <v>-44.05</v>
      </c>
      <c r="M239" s="6">
        <v>-2.8690000000000002</v>
      </c>
      <c r="N239" s="6">
        <v>-128.1</v>
      </c>
      <c r="O239" s="6">
        <v>3.47</v>
      </c>
      <c r="P239" s="6">
        <v>23.25</v>
      </c>
      <c r="Q239" s="6">
        <v>-2.8690000000000002</v>
      </c>
      <c r="R239" s="6">
        <v>-128.1</v>
      </c>
      <c r="S239">
        <f t="shared" si="40"/>
        <v>0.52783954110222575</v>
      </c>
      <c r="T239">
        <f t="shared" si="41"/>
        <v>-0.49897856023679699</v>
      </c>
      <c r="U239">
        <f t="shared" si="42"/>
        <v>-3.3684319963536198</v>
      </c>
      <c r="V239">
        <f t="shared" si="43"/>
        <v>-132.77667392937423</v>
      </c>
      <c r="W239">
        <f t="shared" si="44"/>
        <v>1.1339236025848289</v>
      </c>
      <c r="X239">
        <f t="shared" si="45"/>
        <v>0.67381003371820647</v>
      </c>
      <c r="Y239">
        <f t="shared" si="46"/>
        <v>-3.3687618234656274</v>
      </c>
      <c r="Z239">
        <f t="shared" si="47"/>
        <v>99.209661490161352</v>
      </c>
    </row>
    <row r="240" spans="2:26" x14ac:dyDescent="0.25">
      <c r="B240" s="6">
        <v>6310000000</v>
      </c>
      <c r="C240" s="6">
        <v>0.35980000000000001</v>
      </c>
      <c r="D240" s="6">
        <v>-21.46</v>
      </c>
      <c r="E240" s="6">
        <v>6.3029999999999999</v>
      </c>
      <c r="F240" s="6">
        <v>-120.2</v>
      </c>
      <c r="G240" s="6">
        <v>5.5460000000000003</v>
      </c>
      <c r="H240" s="6">
        <v>8.375</v>
      </c>
      <c r="I240" s="6">
        <v>-0.94430000000000003</v>
      </c>
      <c r="J240" s="6">
        <v>-158</v>
      </c>
      <c r="K240" s="6">
        <v>-2.9670000000000001</v>
      </c>
      <c r="L240" s="6">
        <v>-44.72</v>
      </c>
      <c r="M240" s="6">
        <v>-2.968</v>
      </c>
      <c r="N240" s="6">
        <v>-139.1</v>
      </c>
      <c r="O240" s="6">
        <v>4.194</v>
      </c>
      <c r="P240" s="6">
        <v>14.95</v>
      </c>
      <c r="Q240" s="6">
        <v>-2.968</v>
      </c>
      <c r="R240" s="6">
        <v>-139.1</v>
      </c>
      <c r="S240">
        <f t="shared" si="40"/>
        <v>0.51643751245410996</v>
      </c>
      <c r="T240">
        <f t="shared" si="41"/>
        <v>-0.49958960100046101</v>
      </c>
      <c r="U240">
        <f t="shared" si="42"/>
        <v>-3.2613612387075976</v>
      </c>
      <c r="V240">
        <f t="shared" si="43"/>
        <v>-133.41817332199136</v>
      </c>
      <c r="W240">
        <f t="shared" si="44"/>
        <v>1.3699882165672952</v>
      </c>
      <c r="X240">
        <f t="shared" si="45"/>
        <v>0.58859338861234667</v>
      </c>
      <c r="Y240">
        <f t="shared" si="46"/>
        <v>-3.2609895499501822</v>
      </c>
      <c r="Z240">
        <f t="shared" si="47"/>
        <v>78.758633550210675</v>
      </c>
    </row>
    <row r="241" spans="2:26" x14ac:dyDescent="0.25">
      <c r="B241" s="6">
        <v>6457000000</v>
      </c>
      <c r="C241" s="6">
        <v>1.121</v>
      </c>
      <c r="D241" s="6">
        <v>-18.62</v>
      </c>
      <c r="E241" s="6">
        <v>6.3440000000000003</v>
      </c>
      <c r="F241" s="6">
        <v>-136.80000000000001</v>
      </c>
      <c r="G241" s="6">
        <v>5.6689999999999996</v>
      </c>
      <c r="H241" s="6">
        <v>3.919</v>
      </c>
      <c r="I241" s="6">
        <v>-1.448</v>
      </c>
      <c r="J241" s="6">
        <v>-163.80000000000001</v>
      </c>
      <c r="K241" s="6">
        <v>-3.0659999999999998</v>
      </c>
      <c r="L241" s="6">
        <v>-45.39</v>
      </c>
      <c r="M241" s="6">
        <v>-3.07</v>
      </c>
      <c r="N241" s="6">
        <v>-150.4</v>
      </c>
      <c r="O241" s="6">
        <v>4.601</v>
      </c>
      <c r="P241" s="6">
        <v>6.0730000000000004</v>
      </c>
      <c r="Q241" s="6">
        <v>-3.07</v>
      </c>
      <c r="R241" s="6">
        <v>-150.4</v>
      </c>
      <c r="S241">
        <f t="shared" si="40"/>
        <v>0.5049484311287209</v>
      </c>
      <c r="T241">
        <f t="shared" si="41"/>
        <v>-0.50003710619409047</v>
      </c>
      <c r="U241">
        <f t="shared" si="42"/>
        <v>-3.1567318603639967</v>
      </c>
      <c r="V241">
        <f t="shared" si="43"/>
        <v>-134.0660604413917</v>
      </c>
      <c r="W241">
        <f t="shared" si="44"/>
        <v>1.5658319554027009</v>
      </c>
      <c r="X241">
        <f t="shared" si="45"/>
        <v>0.41809919735948775</v>
      </c>
      <c r="Y241">
        <f t="shared" si="46"/>
        <v>-3.1575314090084019</v>
      </c>
      <c r="Z241">
        <f t="shared" si="47"/>
        <v>57.846642233454276</v>
      </c>
    </row>
    <row r="242" spans="2:26" x14ac:dyDescent="0.25">
      <c r="B242" s="6">
        <v>6607000000</v>
      </c>
      <c r="C242" s="6">
        <v>1.9390000000000001</v>
      </c>
      <c r="D242" s="6">
        <v>-19.36</v>
      </c>
      <c r="E242" s="6">
        <v>5.9989999999999997</v>
      </c>
      <c r="F242" s="6">
        <v>-153.4</v>
      </c>
      <c r="G242" s="6">
        <v>5.7110000000000003</v>
      </c>
      <c r="H242" s="6">
        <v>-0.42870000000000003</v>
      </c>
      <c r="I242" s="6">
        <v>-1.702</v>
      </c>
      <c r="J242" s="6">
        <v>-169.4</v>
      </c>
      <c r="K242" s="6">
        <v>-3.1680000000000001</v>
      </c>
      <c r="L242" s="6">
        <v>-46.07</v>
      </c>
      <c r="M242" s="6">
        <v>-3.1749999999999998</v>
      </c>
      <c r="N242" s="6">
        <v>-161.9</v>
      </c>
      <c r="O242" s="6">
        <v>4.6920000000000002</v>
      </c>
      <c r="P242" s="6">
        <v>-3.2250000000000001</v>
      </c>
      <c r="Q242" s="6">
        <v>-3.1749999999999998</v>
      </c>
      <c r="R242" s="6">
        <v>-161.9</v>
      </c>
      <c r="S242">
        <f t="shared" si="40"/>
        <v>0.49341078671439081</v>
      </c>
      <c r="T242">
        <f t="shared" si="41"/>
        <v>-0.50017400833443448</v>
      </c>
      <c r="U242">
        <f t="shared" si="42"/>
        <v>-3.0529552706868035</v>
      </c>
      <c r="V242">
        <f t="shared" si="43"/>
        <v>-134.71294230925483</v>
      </c>
      <c r="W242">
        <f t="shared" si="44"/>
        <v>1.6889073868335802</v>
      </c>
      <c r="X242">
        <f t="shared" si="45"/>
        <v>0.17968720344067232</v>
      </c>
      <c r="Y242">
        <f t="shared" si="46"/>
        <v>-3.0541871811373933</v>
      </c>
      <c r="Z242">
        <f t="shared" si="47"/>
        <v>36.4610858494136</v>
      </c>
    </row>
    <row r="243" spans="2:26" x14ac:dyDescent="0.25">
      <c r="B243" s="6">
        <v>6761000000</v>
      </c>
      <c r="C243" s="6">
        <v>2.5110000000000001</v>
      </c>
      <c r="D243" s="6">
        <v>-22.49</v>
      </c>
      <c r="E243" s="6">
        <v>5.3440000000000003</v>
      </c>
      <c r="F243" s="6">
        <v>-168.8</v>
      </c>
      <c r="G243" s="6">
        <v>5.6760000000000002</v>
      </c>
      <c r="H243" s="6">
        <v>-4.9130000000000003</v>
      </c>
      <c r="I243" s="6">
        <v>-1.6879999999999999</v>
      </c>
      <c r="J243" s="6">
        <v>-175</v>
      </c>
      <c r="K243" s="6">
        <v>-3.274</v>
      </c>
      <c r="L243" s="6">
        <v>-46.74</v>
      </c>
      <c r="M243" s="6">
        <v>-3.2829999999999999</v>
      </c>
      <c r="N243" s="6">
        <v>-173.6</v>
      </c>
      <c r="O243" s="6">
        <v>4.4489999999999998</v>
      </c>
      <c r="P243" s="6">
        <v>-12.8</v>
      </c>
      <c r="Q243" s="6">
        <v>-3.2829999999999999</v>
      </c>
      <c r="R243" s="6">
        <v>-173.6</v>
      </c>
      <c r="S243">
        <f t="shared" si="40"/>
        <v>0.48174937302259085</v>
      </c>
      <c r="T243">
        <f t="shared" si="41"/>
        <v>-0.50008732786680232</v>
      </c>
      <c r="U243">
        <f t="shared" si="42"/>
        <v>-2.9515767838856597</v>
      </c>
      <c r="V243">
        <f t="shared" si="43"/>
        <v>-135.36509000906173</v>
      </c>
      <c r="W243">
        <f t="shared" si="44"/>
        <v>1.7136087379396774</v>
      </c>
      <c r="X243">
        <f t="shared" si="45"/>
        <v>-9.6555660612133221E-2</v>
      </c>
      <c r="Y243">
        <f t="shared" si="46"/>
        <v>-2.9509409154546757</v>
      </c>
      <c r="Z243">
        <f t="shared" si="47"/>
        <v>14.618711753897466</v>
      </c>
    </row>
    <row r="244" spans="2:26" x14ac:dyDescent="0.25">
      <c r="B244" s="6">
        <v>6918000000</v>
      </c>
      <c r="C244" s="6">
        <v>2.786</v>
      </c>
      <c r="D244" s="6">
        <v>-26.44</v>
      </c>
      <c r="E244" s="6">
        <v>4.5380000000000003</v>
      </c>
      <c r="F244" s="6">
        <v>177.7</v>
      </c>
      <c r="G244" s="6">
        <v>5.5469999999999997</v>
      </c>
      <c r="H244" s="6">
        <v>-9.8260000000000005</v>
      </c>
      <c r="I244" s="6">
        <v>-1.383</v>
      </c>
      <c r="J244" s="6">
        <v>178.8</v>
      </c>
      <c r="K244" s="6">
        <v>-3.383</v>
      </c>
      <c r="L244" s="6">
        <v>-47.41</v>
      </c>
      <c r="M244" s="6">
        <v>-3.3919999999999999</v>
      </c>
      <c r="N244" s="6">
        <v>174.4</v>
      </c>
      <c r="O244" s="6">
        <v>3.823</v>
      </c>
      <c r="P244" s="6">
        <v>-22.5</v>
      </c>
      <c r="Q244" s="6">
        <v>-3.3919999999999999</v>
      </c>
      <c r="R244" s="6">
        <v>174.4</v>
      </c>
      <c r="S244">
        <f t="shared" si="40"/>
        <v>0.47009662728980811</v>
      </c>
      <c r="T244">
        <f t="shared" si="41"/>
        <v>-0.49955270088743153</v>
      </c>
      <c r="U244">
        <f t="shared" si="42"/>
        <v>-2.8510799358642154</v>
      </c>
      <c r="V244">
        <f t="shared" si="43"/>
        <v>-136.02183174035235</v>
      </c>
      <c r="W244">
        <f t="shared" si="44"/>
        <v>1.6275005257205613</v>
      </c>
      <c r="X244">
        <f t="shared" si="45"/>
        <v>-0.36975904742823507</v>
      </c>
      <c r="Y244">
        <f t="shared" si="46"/>
        <v>-2.8520062915127813</v>
      </c>
      <c r="Z244">
        <f t="shared" si="47"/>
        <v>-7.7056749713105948</v>
      </c>
    </row>
    <row r="245" spans="2:26" x14ac:dyDescent="0.25">
      <c r="B245" s="6">
        <v>7079000000</v>
      </c>
      <c r="C245" s="6">
        <v>2.8290000000000002</v>
      </c>
      <c r="D245" s="6">
        <v>-30.33</v>
      </c>
      <c r="E245" s="6">
        <v>3.7370000000000001</v>
      </c>
      <c r="F245" s="6">
        <v>165.9</v>
      </c>
      <c r="G245" s="6">
        <v>5.2720000000000002</v>
      </c>
      <c r="H245" s="6">
        <v>-15.58</v>
      </c>
      <c r="I245" s="6">
        <v>-0.75239999999999996</v>
      </c>
      <c r="J245" s="6">
        <v>171.7</v>
      </c>
      <c r="K245" s="6">
        <v>-3.4950000000000001</v>
      </c>
      <c r="L245" s="6">
        <v>-48.08</v>
      </c>
      <c r="M245" s="6">
        <v>-3.5030000000000001</v>
      </c>
      <c r="N245" s="6">
        <v>162.19999999999999</v>
      </c>
      <c r="O245" s="6">
        <v>2.7240000000000002</v>
      </c>
      <c r="P245" s="6">
        <v>-32.08</v>
      </c>
      <c r="Q245" s="6">
        <v>-3.5030000000000001</v>
      </c>
      <c r="R245" s="6">
        <v>162.19999999999999</v>
      </c>
      <c r="S245">
        <f t="shared" si="40"/>
        <v>0.45843382203786381</v>
      </c>
      <c r="T245">
        <f t="shared" si="41"/>
        <v>-0.49871770615411654</v>
      </c>
      <c r="U245">
        <f t="shared" si="42"/>
        <v>-2.7543702934843632</v>
      </c>
      <c r="V245">
        <f t="shared" si="43"/>
        <v>-136.68871880045478</v>
      </c>
      <c r="W245">
        <f t="shared" si="44"/>
        <v>1.434714032142526</v>
      </c>
      <c r="X245">
        <f t="shared" si="45"/>
        <v>-0.59427801024042293</v>
      </c>
      <c r="Y245">
        <f t="shared" si="46"/>
        <v>-2.7533207972892679</v>
      </c>
      <c r="Z245">
        <f t="shared" si="47"/>
        <v>-30.509014214525671</v>
      </c>
    </row>
    <row r="246" spans="2:26" x14ac:dyDescent="0.25">
      <c r="B246" s="6">
        <v>7244000000</v>
      </c>
      <c r="C246" s="6">
        <v>2.714</v>
      </c>
      <c r="D246" s="6">
        <v>-33.81</v>
      </c>
      <c r="E246" s="6">
        <v>3.0449999999999999</v>
      </c>
      <c r="F246" s="6">
        <v>155.6</v>
      </c>
      <c r="G246" s="6">
        <v>4.7169999999999996</v>
      </c>
      <c r="H246" s="6">
        <v>-22.78</v>
      </c>
      <c r="I246" s="6">
        <v>0.23710000000000001</v>
      </c>
      <c r="J246" s="6">
        <v>162.6</v>
      </c>
      <c r="K246" s="6">
        <v>-3.609</v>
      </c>
      <c r="L246" s="6">
        <v>-48.73</v>
      </c>
      <c r="M246" s="6">
        <v>-3.6150000000000002</v>
      </c>
      <c r="N246" s="6">
        <v>149.69999999999999</v>
      </c>
      <c r="O246" s="6">
        <v>0.97909999999999997</v>
      </c>
      <c r="P246" s="6">
        <v>-41.06</v>
      </c>
      <c r="Q246" s="6">
        <v>-3.6150000000000002</v>
      </c>
      <c r="R246" s="6">
        <v>149.69999999999999</v>
      </c>
      <c r="S246">
        <f t="shared" si="40"/>
        <v>0.44677255308805741</v>
      </c>
      <c r="T246">
        <f t="shared" si="41"/>
        <v>-0.4975866131598895</v>
      </c>
      <c r="U246">
        <f t="shared" si="42"/>
        <v>-2.6599007614619534</v>
      </c>
      <c r="V246">
        <f t="shared" si="43"/>
        <v>-137.3586346738837</v>
      </c>
      <c r="W246">
        <f t="shared" si="44"/>
        <v>1.1594205142859959</v>
      </c>
      <c r="X246">
        <f t="shared" si="45"/>
        <v>-0.7267392703298724</v>
      </c>
      <c r="Y246">
        <f t="shared" si="46"/>
        <v>-2.6588643116849657</v>
      </c>
      <c r="Z246">
        <f t="shared" si="47"/>
        <v>-53.814550705331015</v>
      </c>
    </row>
    <row r="247" spans="2:26" x14ac:dyDescent="0.25">
      <c r="B247" s="6">
        <v>7413000000</v>
      </c>
      <c r="C247" s="6">
        <v>2.492</v>
      </c>
      <c r="D247" s="6">
        <v>-36.82</v>
      </c>
      <c r="E247" s="6">
        <v>2.5289999999999999</v>
      </c>
      <c r="F247" s="6">
        <v>146.30000000000001</v>
      </c>
      <c r="G247" s="6">
        <v>3.5110000000000001</v>
      </c>
      <c r="H247" s="6">
        <v>-32.32</v>
      </c>
      <c r="I247" s="6">
        <v>1.58</v>
      </c>
      <c r="J247" s="6">
        <v>150.19999999999999</v>
      </c>
      <c r="K247" s="6">
        <v>-3.726</v>
      </c>
      <c r="L247" s="6">
        <v>-49.38</v>
      </c>
      <c r="M247" s="6">
        <v>-3.7280000000000002</v>
      </c>
      <c r="N247" s="6">
        <v>136.9</v>
      </c>
      <c r="O247" s="6">
        <v>-1.772</v>
      </c>
      <c r="P247" s="6">
        <v>-48.12</v>
      </c>
      <c r="Q247" s="6">
        <v>-3.7280000000000002</v>
      </c>
      <c r="R247" s="6">
        <v>136.9</v>
      </c>
      <c r="S247">
        <f t="shared" si="40"/>
        <v>0.43534750202771277</v>
      </c>
      <c r="T247">
        <f t="shared" si="41"/>
        <v>-0.49606926736565754</v>
      </c>
      <c r="U247">
        <f t="shared" si="42"/>
        <v>-2.567623067138495</v>
      </c>
      <c r="V247">
        <f t="shared" si="43"/>
        <v>-138.03099344973418</v>
      </c>
      <c r="W247">
        <f t="shared" si="44"/>
        <v>0.84399349594727036</v>
      </c>
      <c r="X247">
        <f t="shared" si="45"/>
        <v>-0.73522546805015931</v>
      </c>
      <c r="Y247">
        <f t="shared" si="46"/>
        <v>-2.5683148063954504</v>
      </c>
      <c r="Z247">
        <f t="shared" si="47"/>
        <v>-77.627337852224997</v>
      </c>
    </row>
    <row r="248" spans="2:26" x14ac:dyDescent="0.25">
      <c r="B248" s="6">
        <v>7586000000</v>
      </c>
      <c r="C248" s="6">
        <v>2.1859999999999999</v>
      </c>
      <c r="D248" s="6">
        <v>-39.380000000000003</v>
      </c>
      <c r="E248" s="6">
        <v>2.226</v>
      </c>
      <c r="F248" s="6">
        <v>137.5</v>
      </c>
      <c r="G248" s="6">
        <v>0.45839999999999997</v>
      </c>
      <c r="H248" s="6">
        <v>-43.97</v>
      </c>
      <c r="I248" s="6">
        <v>3.0760000000000001</v>
      </c>
      <c r="J248" s="6">
        <v>131.9</v>
      </c>
      <c r="K248" s="6">
        <v>-3.8439999999999999</v>
      </c>
      <c r="L248" s="6">
        <v>-50.02</v>
      </c>
      <c r="M248" s="6">
        <v>-3.8420000000000001</v>
      </c>
      <c r="N248" s="6">
        <v>123.8</v>
      </c>
      <c r="O248" s="6">
        <v>-6.391</v>
      </c>
      <c r="P248" s="6">
        <v>-47.9</v>
      </c>
      <c r="Q248" s="6">
        <v>-3.8420000000000001</v>
      </c>
      <c r="R248" s="6">
        <v>123.8</v>
      </c>
      <c r="S248">
        <f t="shared" si="40"/>
        <v>0.42394268662876888</v>
      </c>
      <c r="T248">
        <f t="shared" si="41"/>
        <v>-0.49427313687777941</v>
      </c>
      <c r="U248">
        <f t="shared" si="42"/>
        <v>-2.480152317291501</v>
      </c>
      <c r="V248">
        <f t="shared" si="43"/>
        <v>-138.69943148432156</v>
      </c>
      <c r="W248">
        <f t="shared" si="44"/>
        <v>0.54437549697291032</v>
      </c>
      <c r="X248">
        <f t="shared" si="45"/>
        <v>-0.60714263185858763</v>
      </c>
      <c r="Y248">
        <f t="shared" si="46"/>
        <v>-2.4803263970396658</v>
      </c>
      <c r="Z248">
        <f t="shared" si="47"/>
        <v>-101.97983026604554</v>
      </c>
    </row>
    <row r="249" spans="2:26" x14ac:dyDescent="0.25">
      <c r="B249" s="6">
        <v>7762000000</v>
      </c>
      <c r="C249" s="6">
        <v>1.804</v>
      </c>
      <c r="D249" s="6">
        <v>-41.48</v>
      </c>
      <c r="E249" s="6">
        <v>2.1669999999999998</v>
      </c>
      <c r="F249" s="6">
        <v>128.80000000000001</v>
      </c>
      <c r="G249" s="6">
        <v>-8.9600000000000009</v>
      </c>
      <c r="H249" s="6">
        <v>-28.11</v>
      </c>
      <c r="I249" s="6">
        <v>3.9950000000000001</v>
      </c>
      <c r="J249" s="6">
        <v>105.9</v>
      </c>
      <c r="K249" s="6">
        <v>-3.9630000000000001</v>
      </c>
      <c r="L249" s="6">
        <v>-50.65</v>
      </c>
      <c r="M249" s="6">
        <v>-3.9569999999999999</v>
      </c>
      <c r="N249" s="6">
        <v>110.4</v>
      </c>
      <c r="O249" s="6">
        <v>-12.84</v>
      </c>
      <c r="P249" s="6">
        <v>-5.3129999999999997</v>
      </c>
      <c r="Q249" s="6">
        <v>-3.9569999999999999</v>
      </c>
      <c r="R249" s="6">
        <v>110.4</v>
      </c>
      <c r="S249">
        <f t="shared" si="40"/>
        <v>0.41274969972271408</v>
      </c>
      <c r="T249">
        <f t="shared" si="41"/>
        <v>-0.49224478839470259</v>
      </c>
      <c r="U249">
        <f t="shared" si="42"/>
        <v>-2.3946596990403219</v>
      </c>
      <c r="V249">
        <f t="shared" si="43"/>
        <v>-139.36949206277768</v>
      </c>
      <c r="W249">
        <f t="shared" si="44"/>
        <v>0.32121901750604082</v>
      </c>
      <c r="X249">
        <f t="shared" si="45"/>
        <v>-0.35550013068030156</v>
      </c>
      <c r="Y249">
        <f t="shared" si="46"/>
        <v>-2.3941478979699702</v>
      </c>
      <c r="Z249">
        <f t="shared" si="47"/>
        <v>-126.88605205589205</v>
      </c>
    </row>
    <row r="250" spans="2:26" x14ac:dyDescent="0.25">
      <c r="B250" s="6">
        <v>7943000000</v>
      </c>
      <c r="C250" s="6">
        <v>1.337</v>
      </c>
      <c r="D250" s="6">
        <v>-43.01</v>
      </c>
      <c r="E250" s="6">
        <v>2.371</v>
      </c>
      <c r="F250" s="6">
        <v>119.7</v>
      </c>
      <c r="G250" s="6">
        <v>-1.9850000000000001</v>
      </c>
      <c r="H250" s="6">
        <v>47.85</v>
      </c>
      <c r="I250" s="6">
        <v>3.3730000000000002</v>
      </c>
      <c r="J250" s="6">
        <v>77.180000000000007</v>
      </c>
      <c r="K250" s="6">
        <v>-4.0830000000000002</v>
      </c>
      <c r="L250" s="6">
        <v>-51.27</v>
      </c>
      <c r="M250" s="6">
        <v>-4.0730000000000004</v>
      </c>
      <c r="N250" s="6">
        <v>96.77</v>
      </c>
      <c r="O250" s="6">
        <v>-7.0759999999999996</v>
      </c>
      <c r="P250" s="6">
        <v>48.44</v>
      </c>
      <c r="Q250" s="6">
        <v>-4.0730000000000004</v>
      </c>
      <c r="R250" s="6">
        <v>96.77</v>
      </c>
      <c r="S250">
        <f t="shared" si="40"/>
        <v>0.40177006159424705</v>
      </c>
      <c r="T250">
        <f t="shared" si="41"/>
        <v>-0.48999405816334574</v>
      </c>
      <c r="U250">
        <f t="shared" si="42"/>
        <v>-2.3123773426704921</v>
      </c>
      <c r="V250">
        <f t="shared" si="43"/>
        <v>-140.02959732206611</v>
      </c>
      <c r="W250">
        <f t="shared" si="44"/>
        <v>0.22705450710409872</v>
      </c>
      <c r="X250">
        <f t="shared" si="45"/>
        <v>-2.1115171253540888E-2</v>
      </c>
      <c r="Y250">
        <f t="shared" si="46"/>
        <v>-2.3127019231479697</v>
      </c>
      <c r="Z250">
        <f t="shared" si="47"/>
        <v>-152.35745660775586</v>
      </c>
    </row>
    <row r="251" spans="2:26" x14ac:dyDescent="0.25">
      <c r="B251" s="6">
        <v>8128000000</v>
      </c>
      <c r="C251" s="6">
        <v>0.77429999999999999</v>
      </c>
      <c r="D251" s="6">
        <v>-43.69</v>
      </c>
      <c r="E251" s="6">
        <v>2.855</v>
      </c>
      <c r="F251" s="6">
        <v>109.5</v>
      </c>
      <c r="G251" s="6">
        <v>2.903</v>
      </c>
      <c r="H251" s="6">
        <v>36.74</v>
      </c>
      <c r="I251" s="6">
        <v>1.58</v>
      </c>
      <c r="J251" s="6">
        <v>54.49</v>
      </c>
      <c r="K251" s="6">
        <v>-4.2039999999999997</v>
      </c>
      <c r="L251" s="6">
        <v>-51.9</v>
      </c>
      <c r="M251" s="6">
        <v>-4.1929999999999996</v>
      </c>
      <c r="N251" s="6">
        <v>82.79</v>
      </c>
      <c r="O251" s="6">
        <v>-1.8029999999999999</v>
      </c>
      <c r="P251" s="6">
        <v>50.16</v>
      </c>
      <c r="Q251" s="6">
        <v>-4.1929999999999996</v>
      </c>
      <c r="R251" s="6">
        <v>82.79</v>
      </c>
      <c r="S251">
        <f t="shared" si="40"/>
        <v>0.39100497566881781</v>
      </c>
      <c r="T251">
        <f t="shared" si="41"/>
        <v>-0.4875306294951976</v>
      </c>
      <c r="U251">
        <f t="shared" si="42"/>
        <v>-2.2331825349193926</v>
      </c>
      <c r="V251">
        <f t="shared" si="43"/>
        <v>-140.68001658709875</v>
      </c>
      <c r="W251">
        <f t="shared" si="44"/>
        <v>0.29375013765772434</v>
      </c>
      <c r="X251">
        <f t="shared" si="45"/>
        <v>0.33132434765457247</v>
      </c>
      <c r="Y251">
        <f t="shared" si="46"/>
        <v>-2.2337828505017909</v>
      </c>
      <c r="Z251">
        <f t="shared" si="47"/>
        <v>-178.43519446443597</v>
      </c>
    </row>
    <row r="252" spans="2:26" x14ac:dyDescent="0.25">
      <c r="B252" s="6">
        <v>8318000000</v>
      </c>
      <c r="C252" s="6">
        <v>0.1229</v>
      </c>
      <c r="D252" s="6">
        <v>-42.82</v>
      </c>
      <c r="E252" s="6">
        <v>3.609</v>
      </c>
      <c r="F252" s="6">
        <v>97.43</v>
      </c>
      <c r="G252" s="6">
        <v>4.6289999999999996</v>
      </c>
      <c r="H252" s="6">
        <v>25.02</v>
      </c>
      <c r="I252" s="6">
        <v>-0.34179999999999999</v>
      </c>
      <c r="J252" s="6">
        <v>38.99</v>
      </c>
      <c r="K252" s="6">
        <v>-4.3259999999999996</v>
      </c>
      <c r="L252" s="6">
        <v>-52.53</v>
      </c>
      <c r="M252" s="6">
        <v>-4.3159999999999998</v>
      </c>
      <c r="N252" s="6">
        <v>68.5</v>
      </c>
      <c r="O252" s="6">
        <v>1.355</v>
      </c>
      <c r="P252" s="6">
        <v>42.03</v>
      </c>
      <c r="Q252" s="6">
        <v>-4.3159999999999998</v>
      </c>
      <c r="R252" s="6">
        <v>68.5</v>
      </c>
      <c r="S252">
        <f t="shared" si="40"/>
        <v>0.38028606804379056</v>
      </c>
      <c r="T252">
        <f t="shared" si="41"/>
        <v>-0.48499680061449946</v>
      </c>
      <c r="U252">
        <f t="shared" si="42"/>
        <v>-2.1569584432000095</v>
      </c>
      <c r="V252">
        <f t="shared" si="43"/>
        <v>-141.32100118830485</v>
      </c>
      <c r="W252">
        <f t="shared" si="44"/>
        <v>0.52055671791239855</v>
      </c>
      <c r="X252">
        <f t="shared" si="45"/>
        <v>0.62390537597785756</v>
      </c>
      <c r="Y252">
        <f t="shared" si="46"/>
        <v>-2.1569324877681315</v>
      </c>
      <c r="Z252">
        <f t="shared" si="47"/>
        <v>154.86722774610195</v>
      </c>
    </row>
    <row r="253" spans="2:26" x14ac:dyDescent="0.25">
      <c r="B253" s="6">
        <v>8511000000</v>
      </c>
      <c r="C253" s="6">
        <v>-0.47860000000000003</v>
      </c>
      <c r="D253" s="6">
        <v>-39.229999999999997</v>
      </c>
      <c r="E253" s="6">
        <v>4.5529999999999999</v>
      </c>
      <c r="F253" s="6">
        <v>82.28</v>
      </c>
      <c r="G253" s="6">
        <v>5.3520000000000003</v>
      </c>
      <c r="H253" s="6">
        <v>16.13</v>
      </c>
      <c r="I253" s="6">
        <v>-1.917</v>
      </c>
      <c r="J253" s="6">
        <v>28.07</v>
      </c>
      <c r="K253" s="6">
        <v>-4.45</v>
      </c>
      <c r="L253" s="6">
        <v>-53.16</v>
      </c>
      <c r="M253" s="6">
        <v>-4.4429999999999996</v>
      </c>
      <c r="N253" s="6">
        <v>53.88</v>
      </c>
      <c r="O253" s="6">
        <v>3.35</v>
      </c>
      <c r="P253" s="6">
        <v>30.96</v>
      </c>
      <c r="Q253" s="6">
        <v>-4.4429999999999996</v>
      </c>
      <c r="R253" s="6">
        <v>53.88</v>
      </c>
      <c r="S253">
        <f t="shared" ref="S253:S260" si="48">10^(K252/20)*COS(PI()/180*L252)</f>
        <v>0.36970099447489596</v>
      </c>
      <c r="T253">
        <f t="shared" ref="T253:T260" si="49">10^(K252/20)*SIN(PI()/180*L252)</f>
        <v>-0.48232641513010605</v>
      </c>
      <c r="U253">
        <f t="shared" ref="U253:U260" si="50">10*LOG((S252-1)^2+T252^2)</f>
        <v>-2.0812188423075635</v>
      </c>
      <c r="V253">
        <f t="shared" ref="V253:V260" si="51">180/PI()*ATAN2((S252-1),T252)</f>
        <v>-141.95276890608184</v>
      </c>
      <c r="W253">
        <f t="shared" ref="W253:W260" si="52">10^(O252/20)*COS(PI()/180*P252)</f>
        <v>0.86819764201821303</v>
      </c>
      <c r="X253">
        <f t="shared" ref="X253:X260" si="53">10^(O252/20)*SIN(PI()/180*P252)</f>
        <v>0.78255219000679099</v>
      </c>
      <c r="Y253">
        <f t="shared" ref="Y253:Y260" si="54">10*LOG((W252-1)^2+X252^2)</f>
        <v>-2.0822251556005096</v>
      </c>
      <c r="Z253">
        <f t="shared" ref="Z253:Z260" si="55">180/PI()*ATAN2((W252-1),X252)</f>
        <v>127.54066119841974</v>
      </c>
    </row>
    <row r="254" spans="2:26" x14ac:dyDescent="0.25">
      <c r="B254" s="6">
        <v>8710000000</v>
      </c>
      <c r="C254" s="6">
        <v>-0.55449999999999999</v>
      </c>
      <c r="D254" s="6">
        <v>-32.659999999999997</v>
      </c>
      <c r="E254" s="6">
        <v>5.4370000000000003</v>
      </c>
      <c r="F254" s="6">
        <v>62.82</v>
      </c>
      <c r="G254" s="6">
        <v>5.681</v>
      </c>
      <c r="H254" s="6">
        <v>9.0489999999999995</v>
      </c>
      <c r="I254" s="6">
        <v>-3.036</v>
      </c>
      <c r="J254" s="6">
        <v>19.600000000000001</v>
      </c>
      <c r="K254" s="6">
        <v>-4.5759999999999996</v>
      </c>
      <c r="L254" s="6">
        <v>-53.8</v>
      </c>
      <c r="M254" s="6">
        <v>-4.5750000000000002</v>
      </c>
      <c r="N254" s="6">
        <v>38.950000000000003</v>
      </c>
      <c r="O254" s="6">
        <v>4.5579999999999998</v>
      </c>
      <c r="P254" s="6">
        <v>18.52</v>
      </c>
      <c r="Q254" s="6">
        <v>-4.5750000000000002</v>
      </c>
      <c r="R254" s="6">
        <v>38.950000000000003</v>
      </c>
      <c r="S254">
        <f t="shared" si="48"/>
        <v>0.35921041962069922</v>
      </c>
      <c r="T254">
        <f t="shared" si="49"/>
        <v>-0.47946825659362097</v>
      </c>
      <c r="U254">
        <f t="shared" si="50"/>
        <v>-2.0071763122362269</v>
      </c>
      <c r="V254">
        <f t="shared" si="51"/>
        <v>-142.57554406812088</v>
      </c>
      <c r="W254">
        <f t="shared" si="52"/>
        <v>1.2610944922986802</v>
      </c>
      <c r="X254">
        <f t="shared" si="53"/>
        <v>0.75654425199121988</v>
      </c>
      <c r="Y254">
        <f t="shared" si="54"/>
        <v>-2.0082507126417317</v>
      </c>
      <c r="Z254">
        <f t="shared" si="55"/>
        <v>99.560387989797547</v>
      </c>
    </row>
    <row r="255" spans="2:26" x14ac:dyDescent="0.25">
      <c r="B255" s="6">
        <v>8913000000</v>
      </c>
      <c r="C255" s="6">
        <v>0.29089999999999999</v>
      </c>
      <c r="D255" s="6">
        <v>-27.9</v>
      </c>
      <c r="E255" s="6">
        <v>5.7889999999999997</v>
      </c>
      <c r="F255" s="6">
        <v>39.33</v>
      </c>
      <c r="G255" s="6">
        <v>5.8170000000000002</v>
      </c>
      <c r="H255" s="6">
        <v>2.8570000000000002</v>
      </c>
      <c r="I255" s="6">
        <v>-3.6819999999999999</v>
      </c>
      <c r="J255" s="6">
        <v>12.3</v>
      </c>
      <c r="K255" s="6">
        <v>-4.7060000000000004</v>
      </c>
      <c r="L255" s="6">
        <v>-54.45</v>
      </c>
      <c r="M255" s="6">
        <v>-4.7110000000000003</v>
      </c>
      <c r="N255" s="6">
        <v>23.69</v>
      </c>
      <c r="O255" s="6">
        <v>5.125</v>
      </c>
      <c r="P255" s="6">
        <v>5.2990000000000004</v>
      </c>
      <c r="Q255" s="6">
        <v>-4.7110000000000003</v>
      </c>
      <c r="R255" s="6">
        <v>23.69</v>
      </c>
      <c r="S255">
        <f t="shared" si="48"/>
        <v>0.34873666518056889</v>
      </c>
      <c r="T255">
        <f t="shared" si="49"/>
        <v>-0.47648822830329063</v>
      </c>
      <c r="U255">
        <f t="shared" si="50"/>
        <v>-1.9348012317560235</v>
      </c>
      <c r="V255">
        <f t="shared" si="51"/>
        <v>-143.19447354301002</v>
      </c>
      <c r="W255">
        <f t="shared" si="52"/>
        <v>1.6025287535679795</v>
      </c>
      <c r="X255">
        <f t="shared" si="53"/>
        <v>0.53682070680252514</v>
      </c>
      <c r="Y255">
        <f t="shared" si="54"/>
        <v>-1.934608372148475</v>
      </c>
      <c r="Z255">
        <f t="shared" si="55"/>
        <v>70.95969644018912</v>
      </c>
    </row>
    <row r="256" spans="2:26" x14ac:dyDescent="0.25">
      <c r="B256" s="6">
        <v>9120000000</v>
      </c>
      <c r="C256" s="6">
        <v>1.3160000000000001</v>
      </c>
      <c r="D256" s="6">
        <v>-29.49</v>
      </c>
      <c r="E256" s="6">
        <v>5.2610000000000001</v>
      </c>
      <c r="F256" s="6">
        <v>15.24</v>
      </c>
      <c r="G256" s="6">
        <v>5.8220000000000001</v>
      </c>
      <c r="H256" s="6">
        <v>-3.1579999999999999</v>
      </c>
      <c r="I256" s="6">
        <v>-3.8420000000000001</v>
      </c>
      <c r="J256" s="6">
        <v>5.2889999999999997</v>
      </c>
      <c r="K256" s="6">
        <v>-4.84</v>
      </c>
      <c r="L256" s="6">
        <v>-55.1</v>
      </c>
      <c r="M256" s="6">
        <v>-4.8499999999999996</v>
      </c>
      <c r="N256" s="6">
        <v>8.1229999999999993</v>
      </c>
      <c r="O256" s="6">
        <v>5.0869999999999997</v>
      </c>
      <c r="P256" s="6">
        <v>-8.4190000000000005</v>
      </c>
      <c r="Q256" s="6">
        <v>-4.8499999999999996</v>
      </c>
      <c r="R256" s="6">
        <v>8.1229999999999993</v>
      </c>
      <c r="S256">
        <f t="shared" si="48"/>
        <v>0.33820877838928554</v>
      </c>
      <c r="T256">
        <f t="shared" si="49"/>
        <v>-0.47327705530924707</v>
      </c>
      <c r="U256">
        <f t="shared" si="50"/>
        <v>-1.8629563662793598</v>
      </c>
      <c r="V256">
        <f t="shared" si="51"/>
        <v>-143.80942389476272</v>
      </c>
      <c r="W256">
        <f t="shared" si="52"/>
        <v>1.7963459646288555</v>
      </c>
      <c r="X256">
        <f t="shared" si="53"/>
        <v>0.16661035484652734</v>
      </c>
      <c r="Y256">
        <f t="shared" si="54"/>
        <v>-1.8627402388944136</v>
      </c>
      <c r="Z256">
        <f t="shared" si="55"/>
        <v>41.699319840315937</v>
      </c>
    </row>
    <row r="257" spans="2:26" x14ac:dyDescent="0.25">
      <c r="B257" s="6">
        <v>9333000000</v>
      </c>
      <c r="C257" s="6">
        <v>1.804</v>
      </c>
      <c r="D257" s="6">
        <v>-34.44</v>
      </c>
      <c r="E257" s="6">
        <v>4.1100000000000003</v>
      </c>
      <c r="F257" s="6">
        <v>-5.4240000000000004</v>
      </c>
      <c r="G257" s="6">
        <v>5.6879999999999997</v>
      </c>
      <c r="H257" s="6">
        <v>-9.6980000000000004</v>
      </c>
      <c r="I257" s="6">
        <v>-3.48</v>
      </c>
      <c r="J257" s="6">
        <v>-2.2610000000000001</v>
      </c>
      <c r="K257" s="6">
        <v>-4.9770000000000003</v>
      </c>
      <c r="L257" s="6">
        <v>-55.74</v>
      </c>
      <c r="M257" s="6">
        <v>-4.99</v>
      </c>
      <c r="N257" s="6">
        <v>-7.7720000000000002</v>
      </c>
      <c r="O257" s="6">
        <v>4.391</v>
      </c>
      <c r="P257" s="6">
        <v>-22.4</v>
      </c>
      <c r="Q257" s="6">
        <v>-4.99</v>
      </c>
      <c r="R257" s="6">
        <v>-7.7720000000000002</v>
      </c>
      <c r="S257">
        <f t="shared" si="48"/>
        <v>0.32772288545451222</v>
      </c>
      <c r="T257">
        <f t="shared" si="49"/>
        <v>-0.46977973930607914</v>
      </c>
      <c r="U257">
        <f t="shared" si="50"/>
        <v>-1.79169045194599</v>
      </c>
      <c r="V257">
        <f t="shared" si="51"/>
        <v>-144.42971361523831</v>
      </c>
      <c r="W257">
        <f t="shared" si="52"/>
        <v>1.7768246568572816</v>
      </c>
      <c r="X257">
        <f t="shared" si="53"/>
        <v>-0.26298073286778156</v>
      </c>
      <c r="Y257">
        <f t="shared" si="54"/>
        <v>-1.7919062164290764</v>
      </c>
      <c r="Z257">
        <f t="shared" si="55"/>
        <v>11.816890197066364</v>
      </c>
    </row>
    <row r="258" spans="2:26" x14ac:dyDescent="0.25">
      <c r="B258" s="6">
        <v>9550000000</v>
      </c>
      <c r="C258" s="6">
        <v>1.821</v>
      </c>
      <c r="D258" s="6">
        <v>-39.35</v>
      </c>
      <c r="E258" s="6">
        <v>2.859</v>
      </c>
      <c r="F258" s="6">
        <v>-21.78</v>
      </c>
      <c r="G258" s="6">
        <v>5.3159999999999998</v>
      </c>
      <c r="H258" s="6">
        <v>-17.75</v>
      </c>
      <c r="I258" s="6">
        <v>-2.5259999999999998</v>
      </c>
      <c r="J258" s="6">
        <v>-11.51</v>
      </c>
      <c r="K258" s="6">
        <v>-5.1180000000000003</v>
      </c>
      <c r="L258" s="6">
        <v>-56.36</v>
      </c>
      <c r="M258" s="6">
        <v>-5.13</v>
      </c>
      <c r="N258" s="6">
        <v>-24</v>
      </c>
      <c r="O258" s="6">
        <v>2.863</v>
      </c>
      <c r="P258" s="6">
        <v>-36.33</v>
      </c>
      <c r="Q258" s="6">
        <v>-5.13</v>
      </c>
      <c r="R258" s="6">
        <v>-24</v>
      </c>
      <c r="S258">
        <f t="shared" si="48"/>
        <v>0.31740896993089107</v>
      </c>
      <c r="T258">
        <f t="shared" si="49"/>
        <v>-0.46600266026252152</v>
      </c>
      <c r="U258">
        <f t="shared" si="50"/>
        <v>-1.7221116195709263</v>
      </c>
      <c r="V258">
        <f t="shared" si="51"/>
        <v>-145.0545800279543</v>
      </c>
      <c r="W258">
        <f t="shared" si="52"/>
        <v>1.5327754639314783</v>
      </c>
      <c r="X258">
        <f t="shared" si="53"/>
        <v>-0.63176445700459427</v>
      </c>
      <c r="Y258">
        <f t="shared" si="54"/>
        <v>-1.7223318480464387</v>
      </c>
      <c r="Z258">
        <f t="shared" si="55"/>
        <v>-18.702653112102762</v>
      </c>
    </row>
    <row r="259" spans="2:26" x14ac:dyDescent="0.25">
      <c r="B259" s="6">
        <v>9772000000</v>
      </c>
      <c r="C259" s="6">
        <v>1.5860000000000001</v>
      </c>
      <c r="D259" s="6">
        <v>-43.31</v>
      </c>
      <c r="E259" s="6">
        <v>1.8460000000000001</v>
      </c>
      <c r="F259" s="6">
        <v>-34.950000000000003</v>
      </c>
      <c r="G259" s="6">
        <v>4.3470000000000004</v>
      </c>
      <c r="H259" s="6">
        <v>-29.08</v>
      </c>
      <c r="I259" s="6">
        <v>-0.90720000000000001</v>
      </c>
      <c r="J259" s="6">
        <v>-24.66</v>
      </c>
      <c r="K259" s="6">
        <v>-5.2619999999999996</v>
      </c>
      <c r="L259" s="6">
        <v>-56.96</v>
      </c>
      <c r="M259" s="6">
        <v>-5.2690000000000001</v>
      </c>
      <c r="N259" s="6">
        <v>-40.590000000000003</v>
      </c>
      <c r="O259" s="6">
        <v>6.1879999999999998E-2</v>
      </c>
      <c r="P259" s="6">
        <v>-49.37</v>
      </c>
      <c r="Q259" s="6">
        <v>-5.2690000000000001</v>
      </c>
      <c r="R259" s="6">
        <v>-40.590000000000003</v>
      </c>
      <c r="S259">
        <f t="shared" si="48"/>
        <v>0.30731837084293667</v>
      </c>
      <c r="T259">
        <f t="shared" si="49"/>
        <v>-0.46185148319912328</v>
      </c>
      <c r="U259">
        <f t="shared" si="50"/>
        <v>-1.6552271219521302</v>
      </c>
      <c r="V259">
        <f t="shared" si="51"/>
        <v>-145.67877459053204</v>
      </c>
      <c r="W259">
        <f t="shared" si="52"/>
        <v>1.120157951120974</v>
      </c>
      <c r="X259">
        <f t="shared" si="53"/>
        <v>-0.82374116021786348</v>
      </c>
      <c r="Y259">
        <f t="shared" si="54"/>
        <v>-1.6559454197452963</v>
      </c>
      <c r="Z259">
        <f t="shared" si="55"/>
        <v>-49.858614335961114</v>
      </c>
    </row>
    <row r="260" spans="2:26" x14ac:dyDescent="0.25">
      <c r="B260" s="6">
        <v>10000000000</v>
      </c>
      <c r="C260" s="6">
        <v>1.2170000000000001</v>
      </c>
      <c r="D260" s="6">
        <v>-46.35</v>
      </c>
      <c r="E260" s="6">
        <v>1.2170000000000001</v>
      </c>
      <c r="F260" s="6">
        <v>-46.35</v>
      </c>
      <c r="G260" s="6">
        <v>1.2170000000000001</v>
      </c>
      <c r="H260" s="6">
        <v>-46.35</v>
      </c>
      <c r="I260" s="6">
        <v>1.2170000000000001</v>
      </c>
      <c r="J260" s="6">
        <v>-46.35</v>
      </c>
      <c r="K260" s="6">
        <v>-5.4059999999999997</v>
      </c>
      <c r="L260" s="6">
        <v>-57.54</v>
      </c>
      <c r="M260" s="6">
        <v>-5.4059999999999997</v>
      </c>
      <c r="N260" s="6">
        <v>-57.54</v>
      </c>
      <c r="O260" s="6">
        <v>-5.4059999999999997</v>
      </c>
      <c r="P260" s="6">
        <v>-57.54</v>
      </c>
      <c r="Q260" s="6">
        <v>-5.4059999999999997</v>
      </c>
      <c r="R260" s="6">
        <v>-57.54</v>
      </c>
      <c r="S260">
        <f t="shared" si="48"/>
        <v>0.29749199700162465</v>
      </c>
      <c r="T260">
        <f t="shared" si="49"/>
        <v>-0.45739809847773205</v>
      </c>
      <c r="U260">
        <f t="shared" si="50"/>
        <v>-1.5919493293982054</v>
      </c>
      <c r="V260">
        <f t="shared" si="51"/>
        <v>-146.30628311567037</v>
      </c>
      <c r="W260">
        <f t="shared" si="52"/>
        <v>0.65582732190149118</v>
      </c>
      <c r="X260">
        <f t="shared" si="53"/>
        <v>-0.76435653502671996</v>
      </c>
      <c r="Y260">
        <f t="shared" si="54"/>
        <v>-1.5927464150932293</v>
      </c>
      <c r="Z260">
        <f t="shared" si="55"/>
        <v>-81.700877759952235</v>
      </c>
    </row>
    <row r="261" spans="2:26" x14ac:dyDescent="0.25">
      <c r="B261" s="6"/>
      <c r="C261" s="6"/>
      <c r="D261" s="6"/>
      <c r="E261" s="6"/>
      <c r="F261" s="6"/>
      <c r="G261" s="6"/>
      <c r="H261" s="6"/>
      <c r="I261" s="6"/>
      <c r="J261" s="6"/>
      <c r="K261" s="6"/>
      <c r="L261" s="6"/>
      <c r="M261" s="6"/>
      <c r="N261" s="6"/>
      <c r="O261" s="6"/>
      <c r="P261" s="6"/>
      <c r="Q261" s="6"/>
      <c r="R261" s="6"/>
    </row>
    <row r="262" spans="2:26" x14ac:dyDescent="0.25">
      <c r="B262" s="6"/>
      <c r="C262" s="6"/>
      <c r="D262" s="6"/>
      <c r="E262" s="6"/>
      <c r="F262" s="6"/>
      <c r="G262" s="6"/>
      <c r="H262" s="6"/>
      <c r="I262" s="6"/>
      <c r="J262" s="6"/>
      <c r="K262" s="6"/>
      <c r="L262" s="6"/>
      <c r="M262" s="6"/>
      <c r="N262" s="6"/>
      <c r="O262" s="6"/>
      <c r="P262" s="6"/>
      <c r="Q262" s="6"/>
      <c r="R262" s="6"/>
    </row>
    <row r="263" spans="2:26" x14ac:dyDescent="0.25">
      <c r="B263" s="6"/>
      <c r="C263" s="6"/>
      <c r="D263" s="6"/>
      <c r="E263" s="6"/>
      <c r="F263" s="6"/>
      <c r="G263" s="6"/>
      <c r="H263" s="6"/>
      <c r="I263" s="6"/>
      <c r="J263" s="6"/>
      <c r="K263" s="6"/>
      <c r="L263" s="6"/>
      <c r="M263" s="6"/>
      <c r="N263" s="6"/>
      <c r="O263" s="6"/>
      <c r="P263" s="6"/>
      <c r="Q263" s="6"/>
      <c r="R263" s="6"/>
    </row>
    <row r="264" spans="2:26" x14ac:dyDescent="0.25">
      <c r="B264" s="6"/>
      <c r="C264" s="6"/>
      <c r="D264" s="6"/>
      <c r="E264" s="6"/>
      <c r="F264" s="6"/>
      <c r="G264" s="6"/>
      <c r="H264" s="6"/>
      <c r="I264" s="6"/>
      <c r="J264" s="6"/>
      <c r="K264" s="6"/>
      <c r="L264" s="6"/>
      <c r="M264" s="6"/>
      <c r="N264" s="6"/>
      <c r="O264" s="6"/>
      <c r="P264" s="6"/>
      <c r="Q264" s="6"/>
      <c r="R264" s="6"/>
    </row>
    <row r="265" spans="2:26" x14ac:dyDescent="0.25">
      <c r="B265" s="6"/>
      <c r="C265" s="6"/>
      <c r="D265" s="6"/>
      <c r="E265" s="6"/>
      <c r="F265" s="6"/>
      <c r="G265" s="6"/>
      <c r="H265" s="6"/>
      <c r="I265" s="6"/>
      <c r="J265" s="6"/>
      <c r="K265" s="6"/>
      <c r="L265" s="6"/>
      <c r="M265" s="6"/>
      <c r="N265" s="6"/>
      <c r="O265" s="6"/>
      <c r="P265" s="6"/>
      <c r="Q265" s="6"/>
      <c r="R265" s="6"/>
    </row>
    <row r="266" spans="2:26" x14ac:dyDescent="0.25">
      <c r="B266" s="6"/>
      <c r="C266" s="6"/>
      <c r="D266" s="6"/>
      <c r="E266" s="6"/>
      <c r="F266" s="6"/>
      <c r="G266" s="6"/>
      <c r="H266" s="6"/>
      <c r="I266" s="6"/>
      <c r="J266" s="6"/>
      <c r="K266" s="6"/>
      <c r="L266" s="6"/>
      <c r="M266" s="6"/>
      <c r="N266" s="6"/>
      <c r="O266" s="6"/>
      <c r="P266" s="6"/>
      <c r="Q266" s="6"/>
      <c r="R266" s="6"/>
    </row>
    <row r="267" spans="2:26" x14ac:dyDescent="0.25">
      <c r="B267" s="6"/>
      <c r="C267" s="6"/>
      <c r="D267" s="6"/>
      <c r="E267" s="6"/>
      <c r="F267" s="6"/>
      <c r="G267" s="6"/>
      <c r="H267" s="6"/>
      <c r="I267" s="6"/>
      <c r="J267" s="6"/>
      <c r="K267" s="6"/>
      <c r="L267" s="6"/>
      <c r="M267" s="6"/>
      <c r="N267" s="6"/>
      <c r="O267" s="6"/>
      <c r="P267" s="6"/>
      <c r="Q267" s="6"/>
      <c r="R267" s="6"/>
    </row>
    <row r="268" spans="2:26" x14ac:dyDescent="0.25">
      <c r="B268" s="6"/>
      <c r="C268" s="6"/>
      <c r="D268" s="6"/>
      <c r="E268" s="6"/>
      <c r="F268" s="6"/>
      <c r="G268" s="6"/>
      <c r="H268" s="6"/>
      <c r="I268" s="6"/>
      <c r="J268" s="6"/>
      <c r="K268" s="6"/>
      <c r="L268" s="6"/>
      <c r="M268" s="6"/>
      <c r="N268" s="6"/>
      <c r="O268" s="6"/>
      <c r="P268" s="6"/>
      <c r="Q268" s="6"/>
      <c r="R268" s="6"/>
    </row>
    <row r="269" spans="2:26" x14ac:dyDescent="0.25">
      <c r="B269" s="6"/>
      <c r="C269" s="6"/>
      <c r="D269" s="6"/>
      <c r="E269" s="6"/>
      <c r="F269" s="6"/>
      <c r="G269" s="6"/>
      <c r="H269" s="6"/>
      <c r="I269" s="6"/>
      <c r="J269" s="6"/>
      <c r="K269" s="6"/>
      <c r="L269" s="6"/>
      <c r="M269" s="6"/>
      <c r="N269" s="6"/>
      <c r="O269" s="6"/>
      <c r="P269" s="6"/>
      <c r="Q269" s="6"/>
      <c r="R269" s="6"/>
    </row>
    <row r="270" spans="2:26" x14ac:dyDescent="0.25">
      <c r="B270" s="6"/>
      <c r="C270" s="6"/>
      <c r="D270" s="6"/>
      <c r="E270" s="6"/>
      <c r="F270" s="6"/>
      <c r="G270" s="6"/>
      <c r="H270" s="6"/>
      <c r="I270" s="6"/>
      <c r="J270" s="6"/>
      <c r="K270" s="6"/>
      <c r="L270" s="6"/>
      <c r="M270" s="6"/>
      <c r="N270" s="6"/>
      <c r="O270" s="6"/>
      <c r="P270" s="6"/>
      <c r="Q270" s="6"/>
      <c r="R270" s="6"/>
    </row>
    <row r="271" spans="2:26" x14ac:dyDescent="0.25">
      <c r="B271" s="6"/>
      <c r="C271" s="6"/>
      <c r="D271" s="6"/>
      <c r="E271" s="6"/>
      <c r="F271" s="6"/>
      <c r="G271" s="6"/>
      <c r="H271" s="6"/>
      <c r="I271" s="6"/>
      <c r="J271" s="6"/>
      <c r="K271" s="6"/>
      <c r="L271" s="6"/>
      <c r="M271" s="6"/>
      <c r="N271" s="6"/>
      <c r="O271" s="6"/>
      <c r="P271" s="6"/>
      <c r="Q271" s="6"/>
      <c r="R271" s="6"/>
    </row>
    <row r="272" spans="2:26" x14ac:dyDescent="0.25">
      <c r="B272" s="6"/>
      <c r="C272" s="6"/>
      <c r="D272" s="6"/>
      <c r="E272" s="6"/>
      <c r="F272" s="6"/>
      <c r="G272" s="6"/>
      <c r="H272" s="6"/>
      <c r="I272" s="6"/>
      <c r="J272" s="6"/>
      <c r="K272" s="6"/>
      <c r="L272" s="6"/>
      <c r="M272" s="6"/>
      <c r="N272" s="6"/>
      <c r="O272" s="6"/>
      <c r="P272" s="6"/>
      <c r="Q272" s="6"/>
      <c r="R272" s="6"/>
    </row>
    <row r="273" spans="2:18" x14ac:dyDescent="0.25">
      <c r="B273" s="6"/>
      <c r="C273" s="6"/>
      <c r="D273" s="6"/>
      <c r="E273" s="6"/>
      <c r="F273" s="6"/>
      <c r="G273" s="6"/>
      <c r="H273" s="6"/>
      <c r="I273" s="6"/>
      <c r="J273" s="6"/>
      <c r="K273" s="6"/>
      <c r="L273" s="6"/>
      <c r="M273" s="6"/>
      <c r="N273" s="6"/>
      <c r="O273" s="6"/>
      <c r="P273" s="6"/>
      <c r="Q273" s="6"/>
      <c r="R273" s="6"/>
    </row>
    <row r="274" spans="2:18" x14ac:dyDescent="0.25">
      <c r="B274" s="6"/>
      <c r="C274" s="6"/>
      <c r="D274" s="6"/>
      <c r="E274" s="6"/>
      <c r="F274" s="6"/>
      <c r="G274" s="6"/>
      <c r="H274" s="6"/>
      <c r="I274" s="6"/>
      <c r="J274" s="6"/>
      <c r="K274" s="6"/>
      <c r="L274" s="6"/>
      <c r="M274" s="6"/>
      <c r="N274" s="6"/>
      <c r="O274" s="6"/>
      <c r="P274" s="6"/>
      <c r="Q274" s="6"/>
      <c r="R274" s="6"/>
    </row>
    <row r="275" spans="2:18" x14ac:dyDescent="0.25">
      <c r="B275" s="6"/>
      <c r="C275" s="6"/>
      <c r="D275" s="6"/>
      <c r="E275" s="6"/>
      <c r="F275" s="6"/>
      <c r="G275" s="6"/>
      <c r="H275" s="6"/>
      <c r="I275" s="6"/>
      <c r="J275" s="6"/>
      <c r="K275" s="6"/>
      <c r="L275" s="6"/>
      <c r="M275" s="6"/>
      <c r="N275" s="6"/>
      <c r="O275" s="6"/>
      <c r="P275" s="6"/>
      <c r="Q275" s="6"/>
      <c r="R275" s="6"/>
    </row>
    <row r="276" spans="2:18" x14ac:dyDescent="0.25">
      <c r="B276" s="6"/>
      <c r="C276" s="6"/>
      <c r="D276" s="6"/>
      <c r="E276" s="6"/>
      <c r="F276" s="6"/>
      <c r="G276" s="6"/>
      <c r="H276" s="6"/>
      <c r="I276" s="6"/>
      <c r="J276" s="6"/>
      <c r="K276" s="6"/>
      <c r="L276" s="6"/>
      <c r="M276" s="6"/>
      <c r="N276" s="6"/>
      <c r="O276" s="6"/>
      <c r="P276" s="6"/>
      <c r="Q276" s="6"/>
      <c r="R276" s="6"/>
    </row>
    <row r="277" spans="2:18" x14ac:dyDescent="0.25">
      <c r="B277" s="6"/>
      <c r="C277" s="6"/>
      <c r="D277" s="6"/>
      <c r="E277" s="6"/>
      <c r="F277" s="6"/>
      <c r="G277" s="6"/>
      <c r="H277" s="6"/>
      <c r="I277" s="6"/>
      <c r="J277" s="6"/>
      <c r="K277" s="6"/>
      <c r="L277" s="6"/>
      <c r="M277" s="6"/>
      <c r="N277" s="6"/>
      <c r="O277" s="6"/>
      <c r="P277" s="6"/>
      <c r="Q277" s="6"/>
      <c r="R277" s="6"/>
    </row>
    <row r="278" spans="2:18" x14ac:dyDescent="0.25">
      <c r="B278" s="6"/>
      <c r="C278" s="6"/>
      <c r="D278" s="6"/>
      <c r="E278" s="6"/>
      <c r="F278" s="6"/>
      <c r="G278" s="6"/>
      <c r="H278" s="6"/>
      <c r="I278" s="6"/>
      <c r="J278" s="6"/>
      <c r="K278" s="6"/>
      <c r="L278" s="6"/>
      <c r="M278" s="6"/>
      <c r="N278" s="6"/>
      <c r="O278" s="6"/>
      <c r="P278" s="6"/>
      <c r="Q278" s="6"/>
      <c r="R278" s="6"/>
    </row>
    <row r="279" spans="2:18" x14ac:dyDescent="0.25">
      <c r="B279" s="6"/>
      <c r="C279" s="6"/>
      <c r="D279" s="6"/>
      <c r="E279" s="6"/>
      <c r="F279" s="6"/>
      <c r="G279" s="6"/>
      <c r="H279" s="6"/>
      <c r="I279" s="6"/>
      <c r="J279" s="6"/>
      <c r="K279" s="6"/>
      <c r="L279" s="6"/>
      <c r="M279" s="6"/>
      <c r="N279" s="6"/>
      <c r="O279" s="6"/>
      <c r="P279" s="6"/>
      <c r="Q279" s="6"/>
      <c r="R279" s="6"/>
    </row>
    <row r="280" spans="2:18" x14ac:dyDescent="0.25">
      <c r="B280" s="6"/>
      <c r="C280" s="6"/>
      <c r="D280" s="6"/>
      <c r="E280" s="6"/>
      <c r="F280" s="6"/>
      <c r="G280" s="6"/>
      <c r="H280" s="6"/>
      <c r="I280" s="6"/>
      <c r="J280" s="6"/>
      <c r="K280" s="6"/>
      <c r="L280" s="6"/>
      <c r="M280" s="6"/>
      <c r="N280" s="6"/>
      <c r="O280" s="6"/>
      <c r="P280" s="6"/>
      <c r="Q280" s="6"/>
      <c r="R280" s="6"/>
    </row>
    <row r="281" spans="2:18" x14ac:dyDescent="0.25">
      <c r="B281" s="6"/>
      <c r="C281" s="6"/>
      <c r="D281" s="6"/>
      <c r="E281" s="6"/>
      <c r="F281" s="6"/>
      <c r="G281" s="6"/>
      <c r="H281" s="6"/>
      <c r="I281" s="6"/>
      <c r="J281" s="6"/>
      <c r="K281" s="6"/>
      <c r="L281" s="6"/>
      <c r="M281" s="6"/>
      <c r="N281" s="6"/>
      <c r="O281" s="6"/>
      <c r="P281" s="6"/>
      <c r="Q281" s="6"/>
      <c r="R281" s="6"/>
    </row>
    <row r="282" spans="2:18" x14ac:dyDescent="0.25">
      <c r="B282" s="6"/>
      <c r="C282" s="6"/>
      <c r="D282" s="6"/>
      <c r="E282" s="6"/>
      <c r="F282" s="6"/>
      <c r="G282" s="6"/>
      <c r="H282" s="6"/>
      <c r="I282" s="6"/>
      <c r="J282" s="6"/>
      <c r="K282" s="6"/>
      <c r="L282" s="6"/>
      <c r="M282" s="6"/>
      <c r="N282" s="6"/>
      <c r="O282" s="6"/>
      <c r="P282" s="6"/>
      <c r="Q282" s="6"/>
      <c r="R282" s="6"/>
    </row>
    <row r="283" spans="2:18" x14ac:dyDescent="0.25">
      <c r="B283" s="6"/>
      <c r="C283" s="6"/>
      <c r="D283" s="6"/>
      <c r="E283" s="6"/>
      <c r="F283" s="6"/>
      <c r="G283" s="6"/>
      <c r="H283" s="6"/>
      <c r="I283" s="6"/>
      <c r="J283" s="6"/>
      <c r="K283" s="6"/>
      <c r="L283" s="6"/>
      <c r="M283" s="6"/>
      <c r="N283" s="6"/>
      <c r="O283" s="6"/>
      <c r="P283" s="6"/>
      <c r="Q283" s="6"/>
      <c r="R283" s="6"/>
    </row>
    <row r="284" spans="2:18" x14ac:dyDescent="0.25">
      <c r="B284" s="6"/>
      <c r="C284" s="6"/>
      <c r="D284" s="6"/>
      <c r="E284" s="6"/>
      <c r="F284" s="6"/>
      <c r="G284" s="6"/>
      <c r="H284" s="6"/>
      <c r="I284" s="6"/>
      <c r="J284" s="6"/>
      <c r="K284" s="6"/>
      <c r="L284" s="6"/>
      <c r="M284" s="6"/>
      <c r="N284" s="6"/>
      <c r="O284" s="6"/>
      <c r="P284" s="6"/>
      <c r="Q284" s="6"/>
      <c r="R284" s="6"/>
    </row>
    <row r="285" spans="2:18" x14ac:dyDescent="0.25">
      <c r="B285" s="6"/>
      <c r="C285" s="6"/>
      <c r="D285" s="6"/>
      <c r="E285" s="6"/>
      <c r="F285" s="6"/>
      <c r="G285" s="6"/>
      <c r="H285" s="6"/>
      <c r="I285" s="6"/>
      <c r="J285" s="6"/>
      <c r="K285" s="6"/>
      <c r="L285" s="6"/>
      <c r="M285" s="6"/>
      <c r="N285" s="6"/>
      <c r="O285" s="6"/>
      <c r="P285" s="6"/>
      <c r="Q285" s="6"/>
      <c r="R285" s="6"/>
    </row>
    <row r="286" spans="2:18" x14ac:dyDescent="0.25">
      <c r="B286" s="6"/>
      <c r="C286" s="6"/>
      <c r="D286" s="6"/>
      <c r="E286" s="6"/>
      <c r="F286" s="6"/>
      <c r="G286" s="6"/>
      <c r="H286" s="6"/>
      <c r="I286" s="6"/>
      <c r="J286" s="6"/>
      <c r="K286" s="6"/>
      <c r="L286" s="6"/>
      <c r="M286" s="6"/>
      <c r="N286" s="6"/>
      <c r="O286" s="6"/>
      <c r="P286" s="6"/>
      <c r="Q286" s="6"/>
      <c r="R286" s="6"/>
    </row>
    <row r="287" spans="2:18" x14ac:dyDescent="0.25">
      <c r="B287" s="6"/>
      <c r="C287" s="6"/>
      <c r="D287" s="6"/>
      <c r="E287" s="6"/>
      <c r="F287" s="6"/>
      <c r="G287" s="6"/>
      <c r="H287" s="6"/>
      <c r="I287" s="6"/>
      <c r="J287" s="6"/>
      <c r="K287" s="6"/>
      <c r="L287" s="6"/>
      <c r="M287" s="6"/>
      <c r="N287" s="6"/>
      <c r="O287" s="6"/>
      <c r="P287" s="6"/>
      <c r="Q287" s="6"/>
      <c r="R287" s="6"/>
    </row>
    <row r="288" spans="2:18" x14ac:dyDescent="0.25">
      <c r="B288" s="6"/>
      <c r="C288" s="6"/>
      <c r="D288" s="6"/>
      <c r="E288" s="6"/>
      <c r="F288" s="6"/>
      <c r="G288" s="6"/>
      <c r="H288" s="6"/>
      <c r="I288" s="6"/>
      <c r="J288" s="6"/>
      <c r="K288" s="6"/>
      <c r="L288" s="6"/>
      <c r="M288" s="6"/>
      <c r="N288" s="6"/>
      <c r="O288" s="6"/>
      <c r="P288" s="6"/>
      <c r="Q288" s="6"/>
      <c r="R288" s="6"/>
    </row>
    <row r="289" spans="2:18" x14ac:dyDescent="0.25">
      <c r="B289" s="6"/>
      <c r="C289" s="6"/>
      <c r="D289" s="6"/>
      <c r="E289" s="6"/>
      <c r="F289" s="6"/>
      <c r="G289" s="6"/>
      <c r="H289" s="6"/>
      <c r="I289" s="6"/>
      <c r="J289" s="6"/>
      <c r="K289" s="6"/>
      <c r="L289" s="6"/>
      <c r="M289" s="6"/>
      <c r="N289" s="6"/>
      <c r="O289" s="6"/>
      <c r="P289" s="6"/>
      <c r="Q289" s="6"/>
      <c r="R289" s="6"/>
    </row>
    <row r="290" spans="2:18" x14ac:dyDescent="0.25">
      <c r="B290" s="6"/>
      <c r="C290" s="6"/>
      <c r="D290" s="6"/>
      <c r="E290" s="6"/>
      <c r="F290" s="6"/>
      <c r="G290" s="6"/>
      <c r="H290" s="6"/>
      <c r="I290" s="6"/>
      <c r="J290" s="6"/>
      <c r="K290" s="6"/>
      <c r="L290" s="6"/>
      <c r="M290" s="6"/>
      <c r="N290" s="6"/>
      <c r="O290" s="6"/>
      <c r="P290" s="6"/>
      <c r="Q290" s="6"/>
      <c r="R290" s="6"/>
    </row>
    <row r="291" spans="2:18" x14ac:dyDescent="0.25">
      <c r="B291" s="6"/>
      <c r="C291" s="6"/>
      <c r="D291" s="6"/>
      <c r="E291" s="6"/>
      <c r="F291" s="6"/>
      <c r="G291" s="6"/>
      <c r="H291" s="6"/>
      <c r="I291" s="6"/>
      <c r="J291" s="6"/>
      <c r="K291" s="6"/>
      <c r="L291" s="6"/>
      <c r="M291" s="6"/>
      <c r="N291" s="6"/>
      <c r="O291" s="6"/>
      <c r="P291" s="6"/>
      <c r="Q291" s="6"/>
      <c r="R291" s="6"/>
    </row>
    <row r="292" spans="2:18" x14ac:dyDescent="0.25">
      <c r="B292" s="6"/>
      <c r="C292" s="6"/>
      <c r="D292" s="6"/>
      <c r="E292" s="6"/>
      <c r="F292" s="6"/>
      <c r="G292" s="6"/>
      <c r="H292" s="6"/>
      <c r="I292" s="6"/>
      <c r="J292" s="6"/>
      <c r="K292" s="6"/>
      <c r="L292" s="6"/>
      <c r="M292" s="6"/>
      <c r="N292" s="6"/>
      <c r="O292" s="6"/>
      <c r="P292" s="6"/>
      <c r="Q292" s="6"/>
      <c r="R292" s="6"/>
    </row>
    <row r="293" spans="2:18" x14ac:dyDescent="0.25">
      <c r="B293" s="6"/>
      <c r="C293" s="6"/>
      <c r="D293" s="6"/>
      <c r="E293" s="6"/>
      <c r="F293" s="6"/>
      <c r="G293" s="6"/>
      <c r="H293" s="6"/>
      <c r="I293" s="6"/>
      <c r="J293" s="6"/>
      <c r="K293" s="6"/>
      <c r="L293" s="6"/>
      <c r="M293" s="6"/>
      <c r="N293" s="6"/>
      <c r="O293" s="6"/>
      <c r="P293" s="6"/>
      <c r="Q293" s="6"/>
      <c r="R293" s="6"/>
    </row>
    <row r="294" spans="2:18" x14ac:dyDescent="0.25">
      <c r="B294" s="6"/>
      <c r="C294" s="6"/>
      <c r="D294" s="6"/>
      <c r="E294" s="6"/>
      <c r="F294" s="6"/>
      <c r="G294" s="6"/>
      <c r="H294" s="6"/>
      <c r="I294" s="6"/>
      <c r="J294" s="6"/>
      <c r="K294" s="6"/>
      <c r="L294" s="6"/>
      <c r="M294" s="6"/>
      <c r="N294" s="6"/>
      <c r="O294" s="6"/>
      <c r="P294" s="6"/>
      <c r="Q294" s="6"/>
      <c r="R294" s="6"/>
    </row>
    <row r="295" spans="2:18" x14ac:dyDescent="0.25">
      <c r="B295" s="6"/>
      <c r="C295" s="6"/>
      <c r="D295" s="6"/>
      <c r="E295" s="6"/>
      <c r="F295" s="6"/>
      <c r="G295" s="6"/>
      <c r="H295" s="6"/>
      <c r="I295" s="6"/>
      <c r="J295" s="6"/>
      <c r="K295" s="6"/>
      <c r="L295" s="6"/>
      <c r="M295" s="6"/>
      <c r="N295" s="6"/>
      <c r="O295" s="6"/>
      <c r="P295" s="6"/>
      <c r="Q295" s="6"/>
      <c r="R295" s="6"/>
    </row>
    <row r="296" spans="2:18" x14ac:dyDescent="0.25">
      <c r="B296" s="6"/>
      <c r="C296" s="6"/>
      <c r="D296" s="6"/>
      <c r="E296" s="6"/>
      <c r="F296" s="6"/>
      <c r="G296" s="6"/>
      <c r="H296" s="6"/>
      <c r="I296" s="6"/>
      <c r="J296" s="6"/>
      <c r="K296" s="6"/>
      <c r="L296" s="6"/>
      <c r="M296" s="6"/>
      <c r="N296" s="6"/>
      <c r="O296" s="6"/>
      <c r="P296" s="6"/>
      <c r="Q296" s="6"/>
      <c r="R296" s="6"/>
    </row>
    <row r="297" spans="2:18" x14ac:dyDescent="0.25">
      <c r="B297" s="6"/>
      <c r="C297" s="6"/>
      <c r="D297" s="6"/>
      <c r="E297" s="6"/>
      <c r="F297" s="6"/>
      <c r="G297" s="6"/>
      <c r="H297" s="6"/>
      <c r="I297" s="6"/>
      <c r="J297" s="6"/>
      <c r="K297" s="6"/>
      <c r="L297" s="6"/>
      <c r="M297" s="6"/>
      <c r="N297" s="6"/>
      <c r="O297" s="6"/>
      <c r="P297" s="6"/>
      <c r="Q297" s="6"/>
      <c r="R297" s="6"/>
    </row>
    <row r="298" spans="2:18" x14ac:dyDescent="0.25">
      <c r="B298" s="6"/>
      <c r="C298" s="6"/>
      <c r="D298" s="6"/>
      <c r="E298" s="6"/>
      <c r="F298" s="6"/>
      <c r="G298" s="6"/>
      <c r="H298" s="6"/>
      <c r="I298" s="6"/>
      <c r="J298" s="6"/>
      <c r="K298" s="6"/>
      <c r="L298" s="6"/>
      <c r="M298" s="6"/>
      <c r="N298" s="6"/>
      <c r="O298" s="6"/>
      <c r="P298" s="6"/>
      <c r="Q298" s="6"/>
      <c r="R298" s="6"/>
    </row>
    <row r="299" spans="2:18" x14ac:dyDescent="0.25">
      <c r="B299" s="6"/>
      <c r="C299" s="6"/>
      <c r="D299" s="6"/>
      <c r="E299" s="6"/>
      <c r="F299" s="6"/>
      <c r="G299" s="6"/>
      <c r="H299" s="6"/>
      <c r="I299" s="6"/>
      <c r="J299" s="6"/>
      <c r="K299" s="6"/>
      <c r="L299" s="6"/>
      <c r="M299" s="6"/>
      <c r="N299" s="6"/>
      <c r="O299" s="6"/>
      <c r="P299" s="6"/>
      <c r="Q299" s="6"/>
      <c r="R299" s="6"/>
    </row>
    <row r="300" spans="2:18" x14ac:dyDescent="0.25">
      <c r="B300" s="6"/>
      <c r="C300" s="6"/>
      <c r="D300" s="6"/>
      <c r="E300" s="6"/>
      <c r="F300" s="6"/>
      <c r="G300" s="6"/>
      <c r="H300" s="6"/>
      <c r="I300" s="6"/>
      <c r="J300" s="6"/>
      <c r="K300" s="6"/>
      <c r="L300" s="6"/>
      <c r="M300" s="6"/>
      <c r="N300" s="6"/>
      <c r="O300" s="6"/>
      <c r="P300" s="6"/>
      <c r="Q300" s="6"/>
      <c r="R300" s="6"/>
    </row>
    <row r="301" spans="2:18" x14ac:dyDescent="0.25">
      <c r="B301" s="6"/>
      <c r="C301" s="6"/>
      <c r="D301" s="6"/>
      <c r="E301" s="6"/>
      <c r="F301" s="6"/>
      <c r="G301" s="6"/>
      <c r="H301" s="6"/>
      <c r="I301" s="6"/>
      <c r="J301" s="6"/>
      <c r="K301" s="6"/>
      <c r="L301" s="6"/>
      <c r="M301" s="6"/>
      <c r="N301" s="6"/>
      <c r="O301" s="6"/>
      <c r="P301" s="6"/>
      <c r="Q301" s="6"/>
      <c r="R301" s="6"/>
    </row>
    <row r="302" spans="2:18" x14ac:dyDescent="0.25">
      <c r="B302" s="6"/>
      <c r="C302" s="6"/>
      <c r="D302" s="6"/>
      <c r="E302" s="6"/>
      <c r="F302" s="6"/>
      <c r="G302" s="6"/>
      <c r="H302" s="6"/>
      <c r="I302" s="6"/>
      <c r="J302" s="6"/>
      <c r="K302" s="6"/>
      <c r="L302" s="6"/>
      <c r="M302" s="6"/>
      <c r="N302" s="6"/>
      <c r="O302" s="6"/>
      <c r="P302" s="6"/>
      <c r="Q302" s="6"/>
      <c r="R302" s="6"/>
    </row>
    <row r="303" spans="2:18" x14ac:dyDescent="0.25">
      <c r="B303" s="6"/>
      <c r="C303" s="6"/>
      <c r="D303" s="6"/>
      <c r="E303" s="6"/>
      <c r="F303" s="6"/>
      <c r="G303" s="6"/>
      <c r="H303" s="6"/>
      <c r="I303" s="6"/>
      <c r="J303" s="6"/>
      <c r="K303" s="6"/>
      <c r="L303" s="6"/>
      <c r="M303" s="6"/>
      <c r="N303" s="6"/>
      <c r="O303" s="6"/>
      <c r="P303" s="6"/>
      <c r="Q303" s="6"/>
      <c r="R303" s="6"/>
    </row>
    <row r="304" spans="2:18" x14ac:dyDescent="0.25">
      <c r="B304" s="6"/>
      <c r="C304" s="6"/>
      <c r="D304" s="6"/>
      <c r="E304" s="6"/>
      <c r="F304" s="6"/>
      <c r="G304" s="6"/>
      <c r="H304" s="6"/>
      <c r="I304" s="6"/>
      <c r="J304" s="6"/>
      <c r="K304" s="6"/>
      <c r="L304" s="6"/>
      <c r="M304" s="6"/>
      <c r="N304" s="6"/>
      <c r="O304" s="6"/>
      <c r="P304" s="6"/>
      <c r="Q304" s="6"/>
      <c r="R304" s="6"/>
    </row>
    <row r="305" spans="2:18" x14ac:dyDescent="0.25">
      <c r="B305" s="6"/>
      <c r="C305" s="6"/>
      <c r="D305" s="6"/>
      <c r="E305" s="6"/>
      <c r="F305" s="6"/>
      <c r="G305" s="6"/>
      <c r="H305" s="6"/>
      <c r="I305" s="6"/>
      <c r="J305" s="6"/>
      <c r="K305" s="6"/>
      <c r="L305" s="6"/>
      <c r="M305" s="6"/>
      <c r="N305" s="6"/>
      <c r="O305" s="6"/>
      <c r="P305" s="6"/>
      <c r="Q305" s="6"/>
      <c r="R305" s="6"/>
    </row>
    <row r="306" spans="2:18" x14ac:dyDescent="0.25">
      <c r="B306" s="6"/>
      <c r="C306" s="6"/>
      <c r="D306" s="6"/>
      <c r="E306" s="6"/>
      <c r="F306" s="6"/>
      <c r="G306" s="6"/>
      <c r="H306" s="6"/>
      <c r="I306" s="6"/>
      <c r="J306" s="6"/>
      <c r="K306" s="6"/>
      <c r="L306" s="6"/>
      <c r="M306" s="6"/>
      <c r="N306" s="6"/>
      <c r="O306" s="6"/>
      <c r="P306" s="6"/>
      <c r="Q306" s="6"/>
      <c r="R306" s="6"/>
    </row>
    <row r="307" spans="2:18" x14ac:dyDescent="0.25">
      <c r="B307" s="6"/>
      <c r="C307" s="6"/>
      <c r="D307" s="6"/>
      <c r="E307" s="6"/>
      <c r="F307" s="6"/>
      <c r="G307" s="6"/>
      <c r="H307" s="6"/>
      <c r="I307" s="6"/>
      <c r="J307" s="6"/>
      <c r="K307" s="6"/>
      <c r="L307" s="6"/>
      <c r="M307" s="6"/>
      <c r="N307" s="6"/>
      <c r="O307" s="6"/>
      <c r="P307" s="6"/>
      <c r="Q307" s="6"/>
      <c r="R307" s="6"/>
    </row>
    <row r="308" spans="2:18" x14ac:dyDescent="0.25">
      <c r="B308" s="6"/>
      <c r="C308" s="6"/>
      <c r="D308" s="6"/>
      <c r="E308" s="6"/>
      <c r="F308" s="6"/>
      <c r="G308" s="6"/>
      <c r="H308" s="6"/>
      <c r="I308" s="6"/>
      <c r="J308" s="6"/>
      <c r="K308" s="6"/>
      <c r="L308" s="6"/>
      <c r="M308" s="6"/>
      <c r="N308" s="6"/>
      <c r="O308" s="6"/>
      <c r="P308" s="6"/>
      <c r="Q308" s="6"/>
      <c r="R308" s="6"/>
    </row>
    <row r="309" spans="2:18" x14ac:dyDescent="0.25">
      <c r="B309" s="6"/>
      <c r="C309" s="6"/>
      <c r="D309" s="6"/>
      <c r="E309" s="6"/>
      <c r="F309" s="6"/>
      <c r="G309" s="6"/>
      <c r="H309" s="6"/>
      <c r="I309" s="6"/>
      <c r="J309" s="6"/>
      <c r="K309" s="6"/>
      <c r="L309" s="6"/>
      <c r="M309" s="6"/>
      <c r="N309" s="6"/>
      <c r="O309" s="6"/>
      <c r="P309" s="6"/>
      <c r="Q309" s="6"/>
      <c r="R309" s="6"/>
    </row>
    <row r="310" spans="2:18" x14ac:dyDescent="0.25">
      <c r="B310" s="6"/>
      <c r="C310" s="6"/>
      <c r="D310" s="6"/>
      <c r="E310" s="6"/>
      <c r="F310" s="6"/>
      <c r="G310" s="6"/>
      <c r="H310" s="6"/>
      <c r="I310" s="6"/>
      <c r="J310" s="6"/>
      <c r="K310" s="6"/>
      <c r="L310" s="6"/>
      <c r="M310" s="6"/>
      <c r="N310" s="6"/>
      <c r="O310" s="6"/>
      <c r="P310" s="6"/>
      <c r="Q310" s="6"/>
      <c r="R310" s="6"/>
    </row>
    <row r="311" spans="2:18" x14ac:dyDescent="0.25">
      <c r="B311" s="6"/>
      <c r="C311" s="6"/>
      <c r="D311" s="6"/>
      <c r="E311" s="6"/>
      <c r="F311" s="6"/>
      <c r="G311" s="6"/>
      <c r="H311" s="6"/>
      <c r="I311" s="6"/>
      <c r="J311" s="6"/>
      <c r="K311" s="6"/>
      <c r="L311" s="6"/>
      <c r="M311" s="6"/>
      <c r="N311" s="6"/>
      <c r="O311" s="6"/>
      <c r="P311" s="6"/>
      <c r="Q311" s="6"/>
      <c r="R311" s="6"/>
    </row>
    <row r="312" spans="2:18" x14ac:dyDescent="0.25">
      <c r="B312" s="6"/>
      <c r="C312" s="6"/>
      <c r="D312" s="6"/>
      <c r="E312" s="6"/>
      <c r="F312" s="6"/>
      <c r="G312" s="6"/>
      <c r="H312" s="6"/>
      <c r="I312" s="6"/>
      <c r="J312" s="6"/>
      <c r="K312" s="6"/>
      <c r="L312" s="6"/>
      <c r="M312" s="6"/>
      <c r="N312" s="6"/>
      <c r="O312" s="6"/>
      <c r="P312" s="6"/>
      <c r="Q312" s="6"/>
      <c r="R312" s="6"/>
    </row>
    <row r="313" spans="2:18" x14ac:dyDescent="0.25">
      <c r="B313" s="6"/>
      <c r="C313" s="6"/>
      <c r="D313" s="6"/>
      <c r="E313" s="6"/>
      <c r="F313" s="6"/>
      <c r="G313" s="6"/>
      <c r="H313" s="6"/>
      <c r="I313" s="6"/>
      <c r="J313" s="6"/>
      <c r="K313" s="6"/>
      <c r="L313" s="6"/>
      <c r="M313" s="6"/>
      <c r="N313" s="6"/>
      <c r="O313" s="6"/>
      <c r="P313" s="6"/>
      <c r="Q313" s="6"/>
      <c r="R313" s="6"/>
    </row>
    <row r="314" spans="2:18" x14ac:dyDescent="0.25">
      <c r="B314" s="6"/>
      <c r="C314" s="6"/>
      <c r="D314" s="6"/>
      <c r="E314" s="6"/>
      <c r="F314" s="6"/>
      <c r="G314" s="6"/>
      <c r="H314" s="6"/>
      <c r="I314" s="6"/>
      <c r="J314" s="6"/>
      <c r="K314" s="6"/>
      <c r="L314" s="6"/>
      <c r="M314" s="6"/>
      <c r="N314" s="6"/>
      <c r="O314" s="6"/>
      <c r="P314" s="6"/>
      <c r="Q314" s="6"/>
      <c r="R314" s="6"/>
    </row>
    <row r="315" spans="2:18" x14ac:dyDescent="0.25">
      <c r="B315" s="6"/>
      <c r="C315" s="6"/>
      <c r="D315" s="6"/>
      <c r="E315" s="6"/>
      <c r="F315" s="6"/>
      <c r="G315" s="6"/>
      <c r="H315" s="6"/>
      <c r="I315" s="6"/>
      <c r="J315" s="6"/>
      <c r="K315" s="6"/>
      <c r="L315" s="6"/>
      <c r="M315" s="6"/>
      <c r="N315" s="6"/>
      <c r="O315" s="6"/>
      <c r="P315" s="6"/>
      <c r="Q315" s="6"/>
      <c r="R315" s="6"/>
    </row>
    <row r="316" spans="2:18" x14ac:dyDescent="0.25">
      <c r="B316" s="6"/>
      <c r="C316" s="6"/>
      <c r="D316" s="6"/>
      <c r="E316" s="6"/>
      <c r="F316" s="6"/>
      <c r="G316" s="6"/>
      <c r="H316" s="6"/>
      <c r="I316" s="6"/>
      <c r="J316" s="6"/>
      <c r="K316" s="6"/>
      <c r="L316" s="6"/>
      <c r="M316" s="6"/>
      <c r="N316" s="6"/>
      <c r="O316" s="6"/>
      <c r="P316" s="6"/>
      <c r="Q316" s="6"/>
      <c r="R316" s="6"/>
    </row>
    <row r="317" spans="2:18" x14ac:dyDescent="0.25">
      <c r="B317" s="6"/>
      <c r="C317" s="6"/>
      <c r="D317" s="6"/>
      <c r="E317" s="6"/>
      <c r="F317" s="6"/>
      <c r="G317" s="6"/>
      <c r="H317" s="6"/>
      <c r="I317" s="6"/>
      <c r="J317" s="6"/>
      <c r="K317" s="6"/>
      <c r="L317" s="6"/>
      <c r="M317" s="6"/>
      <c r="N317" s="6"/>
      <c r="O317" s="6"/>
      <c r="P317" s="6"/>
      <c r="Q317" s="6"/>
      <c r="R317" s="6"/>
    </row>
    <row r="318" spans="2:18" x14ac:dyDescent="0.25">
      <c r="B318" s="6"/>
      <c r="C318" s="6"/>
      <c r="D318" s="6"/>
      <c r="E318" s="6"/>
      <c r="F318" s="6"/>
      <c r="G318" s="6"/>
      <c r="H318" s="6"/>
      <c r="I318" s="6"/>
      <c r="J318" s="6"/>
      <c r="K318" s="6"/>
      <c r="L318" s="6"/>
      <c r="M318" s="6"/>
      <c r="N318" s="6"/>
      <c r="O318" s="6"/>
      <c r="P318" s="6"/>
      <c r="Q318" s="6"/>
      <c r="R318" s="6"/>
    </row>
    <row r="319" spans="2:18" x14ac:dyDescent="0.25">
      <c r="B319" s="6"/>
      <c r="C319" s="6"/>
      <c r="D319" s="6"/>
      <c r="E319" s="6"/>
      <c r="F319" s="6"/>
      <c r="G319" s="6"/>
      <c r="H319" s="6"/>
      <c r="I319" s="6"/>
      <c r="J319" s="6"/>
      <c r="K319" s="6"/>
      <c r="L319" s="6"/>
      <c r="M319" s="6"/>
      <c r="N319" s="6"/>
      <c r="O319" s="6"/>
      <c r="P319" s="6"/>
      <c r="Q319" s="6"/>
      <c r="R319" s="6"/>
    </row>
    <row r="320" spans="2:18" x14ac:dyDescent="0.25">
      <c r="B320" s="6"/>
      <c r="C320" s="6"/>
      <c r="D320" s="6"/>
      <c r="E320" s="6"/>
      <c r="F320" s="6"/>
      <c r="G320" s="6"/>
      <c r="H320" s="6"/>
      <c r="I320" s="6"/>
      <c r="J320" s="6"/>
      <c r="K320" s="6"/>
      <c r="L320" s="6"/>
      <c r="M320" s="6"/>
      <c r="N320" s="6"/>
      <c r="O320" s="6"/>
      <c r="P320" s="6"/>
      <c r="Q320" s="6"/>
      <c r="R320" s="6"/>
    </row>
    <row r="321" spans="2:18" x14ac:dyDescent="0.25">
      <c r="B321" s="6"/>
      <c r="C321" s="6"/>
      <c r="D321" s="6"/>
      <c r="E321" s="6"/>
      <c r="F321" s="6"/>
      <c r="G321" s="6"/>
      <c r="H321" s="6"/>
      <c r="I321" s="6"/>
      <c r="J321" s="6"/>
      <c r="K321" s="6"/>
      <c r="L321" s="6"/>
      <c r="M321" s="6"/>
      <c r="N321" s="6"/>
      <c r="O321" s="6"/>
      <c r="P321" s="6"/>
      <c r="Q321" s="6"/>
      <c r="R321" s="6"/>
    </row>
    <row r="322" spans="2:18" x14ac:dyDescent="0.25">
      <c r="B322" s="6"/>
      <c r="C322" s="6"/>
      <c r="D322" s="6"/>
      <c r="E322" s="6"/>
      <c r="F322" s="6"/>
      <c r="G322" s="6"/>
      <c r="H322" s="6"/>
      <c r="I322" s="6"/>
      <c r="J322" s="6"/>
      <c r="K322" s="6"/>
      <c r="L322" s="6"/>
      <c r="M322" s="6"/>
      <c r="N322" s="6"/>
      <c r="O322" s="6"/>
      <c r="P322" s="6"/>
      <c r="Q322" s="6"/>
      <c r="R322" s="6"/>
    </row>
    <row r="323" spans="2:18" x14ac:dyDescent="0.25">
      <c r="B323" s="6"/>
      <c r="C323" s="6"/>
      <c r="D323" s="6"/>
      <c r="E323" s="6"/>
      <c r="F323" s="6"/>
      <c r="G323" s="6"/>
      <c r="H323" s="6"/>
      <c r="I323" s="6"/>
      <c r="J323" s="6"/>
      <c r="K323" s="6"/>
      <c r="L323" s="6"/>
      <c r="M323" s="6"/>
      <c r="N323" s="6"/>
      <c r="O323" s="6"/>
      <c r="P323" s="6"/>
      <c r="Q323" s="6"/>
      <c r="R323" s="6"/>
    </row>
    <row r="324" spans="2:18" x14ac:dyDescent="0.25">
      <c r="B324" s="6"/>
      <c r="C324" s="6"/>
      <c r="D324" s="6"/>
      <c r="E324" s="6"/>
      <c r="F324" s="6"/>
      <c r="G324" s="6"/>
      <c r="H324" s="6"/>
      <c r="I324" s="6"/>
      <c r="J324" s="6"/>
      <c r="K324" s="6"/>
      <c r="L324" s="6"/>
      <c r="M324" s="6"/>
      <c r="N324" s="6"/>
      <c r="O324" s="6"/>
      <c r="P324" s="6"/>
      <c r="Q324" s="6"/>
      <c r="R324" s="6"/>
    </row>
    <row r="325" spans="2:18" x14ac:dyDescent="0.25">
      <c r="B325" s="6"/>
      <c r="C325" s="6"/>
      <c r="D325" s="6"/>
      <c r="E325" s="6"/>
      <c r="F325" s="6"/>
      <c r="G325" s="6"/>
      <c r="H325" s="6"/>
      <c r="I325" s="6"/>
      <c r="J325" s="6"/>
      <c r="K325" s="6"/>
      <c r="L325" s="6"/>
      <c r="M325" s="6"/>
      <c r="N325" s="6"/>
      <c r="O325" s="6"/>
      <c r="P325" s="6"/>
      <c r="Q325" s="6"/>
      <c r="R325" s="6"/>
    </row>
    <row r="326" spans="2:18" x14ac:dyDescent="0.25">
      <c r="B326" s="6"/>
      <c r="C326" s="6"/>
      <c r="D326" s="6"/>
      <c r="E326" s="6"/>
      <c r="F326" s="6"/>
      <c r="G326" s="6"/>
      <c r="H326" s="6"/>
      <c r="I326" s="6"/>
      <c r="J326" s="6"/>
      <c r="K326" s="6"/>
      <c r="L326" s="6"/>
      <c r="M326" s="6"/>
      <c r="N326" s="6"/>
      <c r="O326" s="6"/>
      <c r="P326" s="6"/>
      <c r="Q326" s="6"/>
      <c r="R326" s="6"/>
    </row>
    <row r="327" spans="2:18" x14ac:dyDescent="0.25">
      <c r="B327" s="6"/>
      <c r="C327" s="6"/>
      <c r="D327" s="6"/>
      <c r="E327" s="6"/>
      <c r="F327" s="6"/>
      <c r="G327" s="6"/>
      <c r="H327" s="6"/>
      <c r="I327" s="6"/>
      <c r="J327" s="6"/>
      <c r="K327" s="6"/>
      <c r="L327" s="6"/>
      <c r="M327" s="6"/>
      <c r="N327" s="6"/>
      <c r="O327" s="6"/>
      <c r="P327" s="6"/>
      <c r="Q327" s="6"/>
      <c r="R327" s="6"/>
    </row>
    <row r="328" spans="2:18" x14ac:dyDescent="0.25">
      <c r="B328" s="6"/>
      <c r="C328" s="6"/>
      <c r="D328" s="6"/>
      <c r="E328" s="6"/>
      <c r="F328" s="6"/>
      <c r="G328" s="6"/>
      <c r="H328" s="6"/>
      <c r="I328" s="6"/>
      <c r="J328" s="6"/>
      <c r="K328" s="6"/>
      <c r="L328" s="6"/>
      <c r="M328" s="6"/>
      <c r="N328" s="6"/>
      <c r="O328" s="6"/>
      <c r="P328" s="6"/>
      <c r="Q328" s="6"/>
      <c r="R328" s="6"/>
    </row>
    <row r="329" spans="2:18" x14ac:dyDescent="0.25">
      <c r="B329" s="6"/>
      <c r="C329" s="6"/>
      <c r="D329" s="6"/>
      <c r="E329" s="6"/>
      <c r="F329" s="6"/>
      <c r="G329" s="6"/>
      <c r="H329" s="6"/>
      <c r="I329" s="6"/>
      <c r="J329" s="6"/>
      <c r="K329" s="6"/>
      <c r="L329" s="6"/>
      <c r="M329" s="6"/>
      <c r="N329" s="6"/>
      <c r="O329" s="6"/>
      <c r="P329" s="6"/>
      <c r="Q329" s="6"/>
      <c r="R329" s="6"/>
    </row>
    <row r="330" spans="2:18" x14ac:dyDescent="0.25">
      <c r="B330" s="6"/>
      <c r="C330" s="6"/>
      <c r="D330" s="6"/>
      <c r="E330" s="6"/>
      <c r="F330" s="6"/>
      <c r="G330" s="6"/>
      <c r="H330" s="6"/>
      <c r="I330" s="6"/>
      <c r="J330" s="6"/>
      <c r="K330" s="6"/>
      <c r="L330" s="6"/>
      <c r="M330" s="6"/>
      <c r="N330" s="6"/>
      <c r="O330" s="6"/>
      <c r="P330" s="6"/>
      <c r="Q330" s="6"/>
      <c r="R330" s="6"/>
    </row>
    <row r="331" spans="2:18" x14ac:dyDescent="0.25">
      <c r="B331" s="6"/>
      <c r="C331" s="6"/>
      <c r="D331" s="6"/>
      <c r="E331" s="6"/>
      <c r="F331" s="6"/>
      <c r="G331" s="6"/>
      <c r="H331" s="6"/>
      <c r="I331" s="6"/>
      <c r="J331" s="6"/>
      <c r="K331" s="6"/>
      <c r="L331" s="6"/>
      <c r="M331" s="6"/>
      <c r="N331" s="6"/>
      <c r="O331" s="6"/>
      <c r="P331" s="6"/>
      <c r="Q331" s="6"/>
      <c r="R331" s="6"/>
    </row>
    <row r="332" spans="2:18" x14ac:dyDescent="0.25">
      <c r="B332" s="6"/>
      <c r="C332" s="6"/>
      <c r="D332" s="6"/>
      <c r="E332" s="6"/>
      <c r="F332" s="6"/>
      <c r="G332" s="6"/>
      <c r="H332" s="6"/>
      <c r="I332" s="6"/>
      <c r="J332" s="6"/>
      <c r="K332" s="6"/>
      <c r="L332" s="6"/>
      <c r="M332" s="6"/>
      <c r="N332" s="6"/>
      <c r="O332" s="6"/>
      <c r="P332" s="6"/>
      <c r="Q332" s="6"/>
      <c r="R332" s="6"/>
    </row>
    <row r="333" spans="2:18" x14ac:dyDescent="0.25">
      <c r="B333" s="6"/>
      <c r="C333" s="6"/>
      <c r="D333" s="6"/>
      <c r="E333" s="6"/>
      <c r="F333" s="6"/>
      <c r="G333" s="6"/>
      <c r="H333" s="6"/>
      <c r="I333" s="6"/>
      <c r="J333" s="6"/>
      <c r="K333" s="6"/>
      <c r="L333" s="6"/>
      <c r="M333" s="6"/>
      <c r="N333" s="6"/>
      <c r="O333" s="6"/>
      <c r="P333" s="6"/>
      <c r="Q333" s="6"/>
      <c r="R333" s="6"/>
    </row>
    <row r="334" spans="2:18" x14ac:dyDescent="0.25">
      <c r="B334" s="6"/>
      <c r="C334" s="6"/>
      <c r="D334" s="6"/>
      <c r="E334" s="6"/>
      <c r="F334" s="6"/>
      <c r="G334" s="6"/>
      <c r="H334" s="6"/>
      <c r="I334" s="6"/>
      <c r="J334" s="6"/>
      <c r="K334" s="6"/>
      <c r="L334" s="6"/>
      <c r="M334" s="6"/>
      <c r="N334" s="6"/>
      <c r="O334" s="6"/>
      <c r="P334" s="6"/>
      <c r="Q334" s="6"/>
      <c r="R334" s="6"/>
    </row>
    <row r="335" spans="2:18" x14ac:dyDescent="0.25">
      <c r="B335" s="6"/>
      <c r="C335" s="6"/>
      <c r="D335" s="6"/>
      <c r="E335" s="6"/>
      <c r="F335" s="6"/>
      <c r="G335" s="6"/>
      <c r="H335" s="6"/>
      <c r="I335" s="6"/>
      <c r="J335" s="6"/>
      <c r="K335" s="6"/>
      <c r="L335" s="6"/>
      <c r="M335" s="6"/>
      <c r="N335" s="6"/>
      <c r="O335" s="6"/>
      <c r="P335" s="6"/>
      <c r="Q335" s="6"/>
      <c r="R335" s="6"/>
    </row>
    <row r="336" spans="2:18" x14ac:dyDescent="0.25">
      <c r="B336" s="6"/>
      <c r="C336" s="6"/>
      <c r="D336" s="6"/>
      <c r="E336" s="6"/>
      <c r="F336" s="6"/>
      <c r="G336" s="6"/>
      <c r="H336" s="6"/>
      <c r="I336" s="6"/>
      <c r="J336" s="6"/>
      <c r="K336" s="6"/>
      <c r="L336" s="6"/>
      <c r="M336" s="6"/>
      <c r="N336" s="6"/>
      <c r="O336" s="6"/>
      <c r="P336" s="6"/>
      <c r="Q336" s="6"/>
      <c r="R336" s="6"/>
    </row>
    <row r="337" spans="2:18" x14ac:dyDescent="0.25">
      <c r="B337" s="6"/>
      <c r="C337" s="6"/>
      <c r="D337" s="6"/>
      <c r="E337" s="6"/>
      <c r="F337" s="6"/>
      <c r="G337" s="6"/>
      <c r="H337" s="6"/>
      <c r="I337" s="6"/>
      <c r="J337" s="6"/>
      <c r="K337" s="6"/>
      <c r="L337" s="6"/>
      <c r="M337" s="6"/>
      <c r="N337" s="6"/>
      <c r="O337" s="6"/>
      <c r="P337" s="6"/>
      <c r="Q337" s="6"/>
      <c r="R337" s="6"/>
    </row>
    <row r="338" spans="2:18" x14ac:dyDescent="0.25">
      <c r="B338" s="6"/>
      <c r="C338" s="6"/>
      <c r="D338" s="6"/>
      <c r="E338" s="6"/>
      <c r="F338" s="6"/>
      <c r="G338" s="6"/>
      <c r="H338" s="6"/>
      <c r="I338" s="6"/>
      <c r="J338" s="6"/>
      <c r="K338" s="6"/>
      <c r="L338" s="6"/>
      <c r="M338" s="6"/>
      <c r="N338" s="6"/>
      <c r="O338" s="6"/>
      <c r="P338" s="6"/>
      <c r="Q338" s="6"/>
      <c r="R338" s="6"/>
    </row>
    <row r="339" spans="2:18" x14ac:dyDescent="0.25">
      <c r="B339" s="6"/>
      <c r="C339" s="6"/>
      <c r="D339" s="6"/>
      <c r="E339" s="6"/>
      <c r="F339" s="6"/>
      <c r="G339" s="6"/>
      <c r="H339" s="6"/>
      <c r="I339" s="6"/>
      <c r="J339" s="6"/>
      <c r="K339" s="6"/>
      <c r="L339" s="6"/>
      <c r="M339" s="6"/>
      <c r="N339" s="6"/>
      <c r="O339" s="6"/>
      <c r="P339" s="6"/>
      <c r="Q339" s="6"/>
      <c r="R339" s="6"/>
    </row>
    <row r="340" spans="2:18" x14ac:dyDescent="0.25">
      <c r="B340" s="6"/>
      <c r="C340" s="6"/>
      <c r="D340" s="6"/>
      <c r="E340" s="6"/>
      <c r="F340" s="6"/>
      <c r="G340" s="6"/>
      <c r="H340" s="6"/>
      <c r="I340" s="6"/>
      <c r="J340" s="6"/>
      <c r="K340" s="6"/>
      <c r="L340" s="6"/>
      <c r="M340" s="6"/>
      <c r="N340" s="6"/>
      <c r="O340" s="6"/>
      <c r="P340" s="6"/>
      <c r="Q340" s="6"/>
      <c r="R340" s="6"/>
    </row>
    <row r="341" spans="2:18" x14ac:dyDescent="0.25">
      <c r="B341" s="6"/>
      <c r="C341" s="6"/>
      <c r="D341" s="6"/>
      <c r="E341" s="6"/>
      <c r="F341" s="6"/>
      <c r="G341" s="6"/>
      <c r="H341" s="6"/>
      <c r="I341" s="6"/>
      <c r="J341" s="6"/>
      <c r="K341" s="6"/>
      <c r="L341" s="6"/>
      <c r="M341" s="6"/>
      <c r="N341" s="6"/>
      <c r="O341" s="6"/>
      <c r="P341" s="6"/>
      <c r="Q341" s="6"/>
      <c r="R341" s="6"/>
    </row>
    <row r="342" spans="2:18" x14ac:dyDescent="0.25">
      <c r="B342" s="6"/>
      <c r="C342" s="6"/>
      <c r="D342" s="6"/>
      <c r="E342" s="6"/>
      <c r="F342" s="6"/>
      <c r="G342" s="6"/>
      <c r="H342" s="6"/>
      <c r="I342" s="6"/>
      <c r="J342" s="6"/>
      <c r="K342" s="6"/>
      <c r="L342" s="6"/>
      <c r="M342" s="6"/>
      <c r="N342" s="6"/>
      <c r="O342" s="6"/>
      <c r="P342" s="6"/>
      <c r="Q342" s="6"/>
      <c r="R342" s="6"/>
    </row>
    <row r="343" spans="2:18" x14ac:dyDescent="0.25">
      <c r="B343" s="6"/>
      <c r="C343" s="6"/>
      <c r="D343" s="6"/>
      <c r="E343" s="6"/>
      <c r="F343" s="6"/>
      <c r="G343" s="6"/>
      <c r="H343" s="6"/>
      <c r="I343" s="6"/>
      <c r="J343" s="6"/>
      <c r="K343" s="6"/>
      <c r="L343" s="6"/>
      <c r="M343" s="6"/>
      <c r="N343" s="6"/>
      <c r="O343" s="6"/>
      <c r="P343" s="6"/>
      <c r="Q343" s="6"/>
      <c r="R343" s="6"/>
    </row>
    <row r="344" spans="2:18" x14ac:dyDescent="0.25">
      <c r="B344" s="6"/>
      <c r="C344" s="6"/>
      <c r="D344" s="6"/>
      <c r="E344" s="6"/>
      <c r="F344" s="6"/>
      <c r="G344" s="6"/>
      <c r="H344" s="6"/>
      <c r="I344" s="6"/>
      <c r="J344" s="6"/>
      <c r="K344" s="6"/>
      <c r="L344" s="6"/>
      <c r="M344" s="6"/>
      <c r="N344" s="6"/>
      <c r="O344" s="6"/>
      <c r="P344" s="6"/>
      <c r="Q344" s="6"/>
      <c r="R344" s="6"/>
    </row>
    <row r="345" spans="2:18" x14ac:dyDescent="0.25">
      <c r="B345" s="6"/>
      <c r="C345" s="6"/>
      <c r="D345" s="6"/>
      <c r="E345" s="6"/>
      <c r="F345" s="6"/>
      <c r="G345" s="6"/>
      <c r="H345" s="6"/>
      <c r="I345" s="6"/>
      <c r="J345" s="6"/>
      <c r="K345" s="6"/>
      <c r="L345" s="6"/>
      <c r="M345" s="6"/>
      <c r="N345" s="6"/>
      <c r="O345" s="6"/>
      <c r="P345" s="6"/>
      <c r="Q345" s="6"/>
      <c r="R345" s="6"/>
    </row>
    <row r="346" spans="2:18" x14ac:dyDescent="0.25">
      <c r="B346" s="6"/>
      <c r="C346" s="6"/>
      <c r="D346" s="6"/>
      <c r="E346" s="6"/>
      <c r="F346" s="6"/>
      <c r="G346" s="6"/>
      <c r="H346" s="6"/>
      <c r="I346" s="6"/>
      <c r="J346" s="6"/>
      <c r="K346" s="6"/>
      <c r="L346" s="6"/>
      <c r="M346" s="6"/>
      <c r="N346" s="6"/>
      <c r="O346" s="6"/>
      <c r="P346" s="6"/>
      <c r="Q346" s="6"/>
      <c r="R346" s="6"/>
    </row>
    <row r="347" spans="2:18" x14ac:dyDescent="0.25">
      <c r="B347" s="6"/>
      <c r="C347" s="6"/>
      <c r="D347" s="6"/>
      <c r="E347" s="6"/>
      <c r="F347" s="6"/>
      <c r="G347" s="6"/>
      <c r="H347" s="6"/>
      <c r="I347" s="6"/>
      <c r="J347" s="6"/>
      <c r="K347" s="6"/>
      <c r="L347" s="6"/>
      <c r="M347" s="6"/>
      <c r="N347" s="6"/>
      <c r="O347" s="6"/>
      <c r="P347" s="6"/>
      <c r="Q347" s="6"/>
      <c r="R347" s="6"/>
    </row>
    <row r="348" spans="2:18" x14ac:dyDescent="0.25">
      <c r="B348" s="6"/>
      <c r="C348" s="6"/>
      <c r="D348" s="6"/>
      <c r="E348" s="6"/>
      <c r="F348" s="6"/>
      <c r="G348" s="6"/>
      <c r="H348" s="6"/>
      <c r="I348" s="6"/>
      <c r="J348" s="6"/>
      <c r="K348" s="6"/>
      <c r="L348" s="6"/>
      <c r="M348" s="6"/>
      <c r="N348" s="6"/>
      <c r="O348" s="6"/>
      <c r="P348" s="6"/>
      <c r="Q348" s="6"/>
      <c r="R348" s="6"/>
    </row>
    <row r="349" spans="2:18" x14ac:dyDescent="0.25">
      <c r="B349" s="6"/>
      <c r="C349" s="6"/>
      <c r="D349" s="6"/>
      <c r="E349" s="6"/>
      <c r="F349" s="6"/>
      <c r="G349" s="6"/>
      <c r="H349" s="6"/>
      <c r="I349" s="6"/>
      <c r="J349" s="6"/>
      <c r="K349" s="6"/>
      <c r="L349" s="6"/>
      <c r="M349" s="6"/>
      <c r="N349" s="6"/>
      <c r="O349" s="6"/>
      <c r="P349" s="6"/>
      <c r="Q349" s="6"/>
      <c r="R349" s="6"/>
    </row>
    <row r="350" spans="2:18" x14ac:dyDescent="0.25">
      <c r="B350" s="6"/>
      <c r="C350" s="6"/>
      <c r="D350" s="6"/>
      <c r="E350" s="6"/>
      <c r="F350" s="6"/>
      <c r="G350" s="6"/>
      <c r="H350" s="6"/>
      <c r="I350" s="6"/>
      <c r="J350" s="6"/>
      <c r="K350" s="6"/>
      <c r="L350" s="6"/>
      <c r="M350" s="6"/>
      <c r="N350" s="6"/>
      <c r="O350" s="6"/>
      <c r="P350" s="6"/>
      <c r="Q350" s="6"/>
      <c r="R350" s="6"/>
    </row>
    <row r="351" spans="2:18" x14ac:dyDescent="0.25">
      <c r="B351" s="6"/>
      <c r="C351" s="6"/>
      <c r="D351" s="6"/>
      <c r="E351" s="6"/>
      <c r="F351" s="6"/>
      <c r="G351" s="6"/>
      <c r="H351" s="6"/>
      <c r="I351" s="6"/>
      <c r="J351" s="6"/>
      <c r="K351" s="6"/>
      <c r="L351" s="6"/>
      <c r="M351" s="6"/>
      <c r="N351" s="6"/>
      <c r="O351" s="6"/>
      <c r="P351" s="6"/>
      <c r="Q351" s="6"/>
      <c r="R351" s="6"/>
    </row>
    <row r="352" spans="2:18" x14ac:dyDescent="0.25">
      <c r="B352" s="6"/>
      <c r="C352" s="6"/>
      <c r="D352" s="6"/>
      <c r="E352" s="6"/>
      <c r="F352" s="6"/>
      <c r="G352" s="6"/>
      <c r="H352" s="6"/>
      <c r="I352" s="6"/>
      <c r="J352" s="6"/>
      <c r="K352" s="6"/>
      <c r="L352" s="6"/>
      <c r="M352" s="6"/>
      <c r="N352" s="6"/>
      <c r="O352" s="6"/>
      <c r="P352" s="6"/>
      <c r="Q352" s="6"/>
      <c r="R352" s="6"/>
    </row>
    <row r="353" spans="2:18" x14ac:dyDescent="0.25">
      <c r="B353" s="6"/>
      <c r="C353" s="6"/>
      <c r="D353" s="6"/>
      <c r="E353" s="6"/>
      <c r="F353" s="6"/>
      <c r="G353" s="6"/>
      <c r="H353" s="6"/>
      <c r="I353" s="6"/>
      <c r="J353" s="6"/>
      <c r="K353" s="6"/>
      <c r="L353" s="6"/>
      <c r="M353" s="6"/>
      <c r="N353" s="6"/>
      <c r="O353" s="6"/>
      <c r="P353" s="6"/>
      <c r="Q353" s="6"/>
      <c r="R353" s="6"/>
    </row>
    <row r="354" spans="2:18" x14ac:dyDescent="0.25">
      <c r="B354" s="6"/>
      <c r="C354" s="6"/>
      <c r="D354" s="6"/>
      <c r="E354" s="6"/>
      <c r="F354" s="6"/>
      <c r="G354" s="6"/>
      <c r="H354" s="6"/>
      <c r="I354" s="6"/>
      <c r="J354" s="6"/>
      <c r="K354" s="6"/>
      <c r="L354" s="6"/>
      <c r="M354" s="6"/>
      <c r="N354" s="6"/>
      <c r="O354" s="6"/>
      <c r="P354" s="6"/>
      <c r="Q354" s="6"/>
      <c r="R354" s="6"/>
    </row>
    <row r="355" spans="2:18" x14ac:dyDescent="0.25">
      <c r="B355" s="6"/>
      <c r="C355" s="6"/>
      <c r="D355" s="6"/>
      <c r="E355" s="6"/>
      <c r="F355" s="6"/>
      <c r="G355" s="6"/>
      <c r="H355" s="6"/>
      <c r="I355" s="6"/>
      <c r="J355" s="6"/>
      <c r="K355" s="6"/>
      <c r="L355" s="6"/>
      <c r="M355" s="6"/>
      <c r="N355" s="6"/>
      <c r="O355" s="6"/>
      <c r="P355" s="6"/>
      <c r="Q355" s="6"/>
      <c r="R355" s="6"/>
    </row>
    <row r="356" spans="2:18" x14ac:dyDescent="0.25">
      <c r="B356" s="6"/>
      <c r="C356" s="6"/>
      <c r="D356" s="6"/>
      <c r="E356" s="6"/>
      <c r="F356" s="6"/>
      <c r="G356" s="6"/>
      <c r="H356" s="6"/>
      <c r="I356" s="6"/>
      <c r="J356" s="6"/>
      <c r="K356" s="6"/>
      <c r="L356" s="6"/>
      <c r="M356" s="6"/>
      <c r="N356" s="6"/>
      <c r="O356" s="6"/>
      <c r="P356" s="6"/>
      <c r="Q356" s="6"/>
      <c r="R356" s="6"/>
    </row>
    <row r="357" spans="2:18" x14ac:dyDescent="0.25">
      <c r="B357" s="6"/>
      <c r="C357" s="6"/>
      <c r="D357" s="6"/>
      <c r="E357" s="6"/>
      <c r="F357" s="6"/>
      <c r="G357" s="6"/>
      <c r="H357" s="6"/>
      <c r="I357" s="6"/>
      <c r="J357" s="6"/>
      <c r="K357" s="6"/>
      <c r="L357" s="6"/>
      <c r="M357" s="6"/>
      <c r="N357" s="6"/>
      <c r="O357" s="6"/>
      <c r="P357" s="6"/>
      <c r="Q357" s="6"/>
      <c r="R357" s="6"/>
    </row>
    <row r="358" spans="2:18" x14ac:dyDescent="0.25">
      <c r="B358" s="6"/>
      <c r="C358" s="6"/>
      <c r="D358" s="6"/>
      <c r="E358" s="6"/>
      <c r="F358" s="6"/>
      <c r="G358" s="6"/>
      <c r="H358" s="6"/>
      <c r="I358" s="6"/>
      <c r="J358" s="6"/>
      <c r="K358" s="6"/>
      <c r="L358" s="6"/>
      <c r="M358" s="6"/>
      <c r="N358" s="6"/>
      <c r="O358" s="6"/>
      <c r="P358" s="6"/>
      <c r="Q358" s="6"/>
      <c r="R358" s="6"/>
    </row>
    <row r="359" spans="2:18" x14ac:dyDescent="0.25">
      <c r="B359" s="6"/>
      <c r="C359" s="6"/>
      <c r="D359" s="6"/>
      <c r="E359" s="6"/>
      <c r="F359" s="6"/>
      <c r="G359" s="6"/>
      <c r="H359" s="6"/>
      <c r="I359" s="6"/>
      <c r="J359" s="6"/>
      <c r="K359" s="6"/>
      <c r="L359" s="6"/>
      <c r="M359" s="6"/>
      <c r="N359" s="6"/>
      <c r="O359" s="6"/>
      <c r="P359" s="6"/>
      <c r="Q359" s="6"/>
      <c r="R359" s="6"/>
    </row>
    <row r="360" spans="2:18" x14ac:dyDescent="0.25">
      <c r="B360" s="6"/>
      <c r="C360" s="6"/>
      <c r="D360" s="6"/>
      <c r="E360" s="6"/>
      <c r="F360" s="6"/>
      <c r="G360" s="6"/>
      <c r="H360" s="6"/>
      <c r="I360" s="6"/>
      <c r="J360" s="6"/>
      <c r="K360" s="6"/>
      <c r="L360" s="6"/>
      <c r="M360" s="6"/>
      <c r="N360" s="6"/>
      <c r="O360" s="6"/>
      <c r="P360" s="6"/>
      <c r="Q360" s="6"/>
      <c r="R360" s="6"/>
    </row>
    <row r="361" spans="2:18" x14ac:dyDescent="0.25">
      <c r="B361" s="6"/>
      <c r="C361" s="6"/>
      <c r="D361" s="6"/>
      <c r="E361" s="6"/>
      <c r="F361" s="6"/>
      <c r="G361" s="6"/>
      <c r="H361" s="6"/>
      <c r="I361" s="6"/>
      <c r="J361" s="6"/>
      <c r="K361" s="6"/>
      <c r="L361" s="6"/>
      <c r="M361" s="6"/>
      <c r="N361" s="6"/>
      <c r="O361" s="6"/>
      <c r="P361" s="6"/>
      <c r="Q361" s="6"/>
      <c r="R361" s="6"/>
    </row>
    <row r="362" spans="2:18" x14ac:dyDescent="0.25">
      <c r="B362" s="6"/>
      <c r="C362" s="6"/>
      <c r="D362" s="6"/>
      <c r="E362" s="6"/>
      <c r="F362" s="6"/>
      <c r="G362" s="6"/>
      <c r="H362" s="6"/>
      <c r="I362" s="6"/>
      <c r="J362" s="6"/>
      <c r="K362" s="6"/>
      <c r="L362" s="6"/>
      <c r="M362" s="6"/>
      <c r="N362" s="6"/>
      <c r="O362" s="6"/>
      <c r="P362" s="6"/>
      <c r="Q362" s="6"/>
      <c r="R362" s="6"/>
    </row>
    <row r="363" spans="2:18" x14ac:dyDescent="0.25">
      <c r="B363" s="6"/>
      <c r="C363" s="6"/>
      <c r="D363" s="6"/>
      <c r="E363" s="6"/>
      <c r="F363" s="6"/>
      <c r="G363" s="6"/>
      <c r="H363" s="6"/>
      <c r="I363" s="6"/>
      <c r="J363" s="6"/>
      <c r="K363" s="6"/>
      <c r="L363" s="6"/>
      <c r="M363" s="6"/>
      <c r="N363" s="6"/>
      <c r="O363" s="6"/>
      <c r="P363" s="6"/>
      <c r="Q363" s="6"/>
      <c r="R363" s="6"/>
    </row>
    <row r="364" spans="2:18" x14ac:dyDescent="0.25">
      <c r="B364" s="6"/>
      <c r="C364" s="6"/>
      <c r="D364" s="6"/>
      <c r="E364" s="6"/>
      <c r="F364" s="6"/>
      <c r="G364" s="6"/>
      <c r="H364" s="6"/>
      <c r="I364" s="6"/>
      <c r="J364" s="6"/>
      <c r="K364" s="6"/>
      <c r="L364" s="6"/>
      <c r="M364" s="6"/>
      <c r="N364" s="6"/>
      <c r="O364" s="6"/>
      <c r="P364" s="6"/>
      <c r="Q364" s="6"/>
      <c r="R364" s="6"/>
    </row>
    <row r="365" spans="2:18" x14ac:dyDescent="0.25">
      <c r="B365" s="6"/>
      <c r="C365" s="6"/>
      <c r="D365" s="6"/>
      <c r="E365" s="6"/>
      <c r="F365" s="6"/>
      <c r="G365" s="6"/>
      <c r="H365" s="6"/>
      <c r="I365" s="6"/>
      <c r="J365" s="6"/>
      <c r="K365" s="6"/>
      <c r="L365" s="6"/>
      <c r="M365" s="6"/>
      <c r="N365" s="6"/>
      <c r="O365" s="6"/>
      <c r="P365" s="6"/>
      <c r="Q365" s="6"/>
      <c r="R365" s="6"/>
    </row>
    <row r="366" spans="2:18" x14ac:dyDescent="0.25">
      <c r="B366" s="6"/>
      <c r="C366" s="6"/>
      <c r="D366" s="6"/>
      <c r="E366" s="6"/>
      <c r="F366" s="6"/>
      <c r="G366" s="6"/>
      <c r="H366" s="6"/>
      <c r="I366" s="6"/>
      <c r="J366" s="6"/>
      <c r="K366" s="6"/>
      <c r="L366" s="6"/>
      <c r="M366" s="6"/>
      <c r="N366" s="6"/>
      <c r="O366" s="6"/>
      <c r="P366" s="6"/>
      <c r="Q366" s="6"/>
      <c r="R366" s="6"/>
    </row>
    <row r="367" spans="2:18" x14ac:dyDescent="0.25">
      <c r="B367" s="6"/>
      <c r="C367" s="6"/>
      <c r="D367" s="6"/>
      <c r="E367" s="6"/>
      <c r="F367" s="6"/>
      <c r="G367" s="6"/>
      <c r="H367" s="6"/>
      <c r="I367" s="6"/>
      <c r="J367" s="6"/>
      <c r="K367" s="6"/>
      <c r="L367" s="6"/>
      <c r="M367" s="6"/>
      <c r="N367" s="6"/>
      <c r="O367" s="6"/>
      <c r="P367" s="6"/>
      <c r="Q367" s="6"/>
      <c r="R367" s="6"/>
    </row>
    <row r="368" spans="2:18" x14ac:dyDescent="0.25">
      <c r="B368" s="6"/>
      <c r="C368" s="6"/>
      <c r="D368" s="6"/>
      <c r="E368" s="6"/>
      <c r="F368" s="6"/>
      <c r="G368" s="6"/>
      <c r="H368" s="6"/>
      <c r="I368" s="6"/>
      <c r="J368" s="6"/>
      <c r="K368" s="6"/>
      <c r="L368" s="6"/>
      <c r="M368" s="6"/>
      <c r="N368" s="6"/>
      <c r="O368" s="6"/>
      <c r="P368" s="6"/>
      <c r="Q368" s="6"/>
      <c r="R368" s="6"/>
    </row>
    <row r="369" spans="2:18" x14ac:dyDescent="0.25">
      <c r="B369" s="6"/>
      <c r="C369" s="6"/>
      <c r="D369" s="6"/>
      <c r="E369" s="6"/>
      <c r="F369" s="6"/>
      <c r="G369" s="6"/>
      <c r="H369" s="6"/>
      <c r="I369" s="6"/>
      <c r="J369" s="6"/>
      <c r="K369" s="6"/>
      <c r="L369" s="6"/>
      <c r="M369" s="6"/>
      <c r="N369" s="6"/>
      <c r="O369" s="6"/>
      <c r="P369" s="6"/>
      <c r="Q369" s="6"/>
      <c r="R369" s="6"/>
    </row>
    <row r="370" spans="2:18" x14ac:dyDescent="0.25">
      <c r="B370" s="6"/>
      <c r="C370" s="6"/>
      <c r="D370" s="6"/>
      <c r="E370" s="6"/>
      <c r="F370" s="6"/>
      <c r="G370" s="6"/>
      <c r="H370" s="6"/>
      <c r="I370" s="6"/>
      <c r="J370" s="6"/>
      <c r="K370" s="6"/>
      <c r="L370" s="6"/>
      <c r="M370" s="6"/>
      <c r="N370" s="6"/>
      <c r="O370" s="6"/>
      <c r="P370" s="6"/>
      <c r="Q370" s="6"/>
      <c r="R370" s="6"/>
    </row>
    <row r="371" spans="2:18" x14ac:dyDescent="0.25">
      <c r="B371" s="6"/>
      <c r="C371" s="6"/>
      <c r="D371" s="6"/>
      <c r="E371" s="6"/>
      <c r="F371" s="6"/>
      <c r="G371" s="6"/>
      <c r="H371" s="6"/>
      <c r="I371" s="6"/>
      <c r="J371" s="6"/>
      <c r="K371" s="6"/>
      <c r="L371" s="6"/>
      <c r="M371" s="6"/>
      <c r="N371" s="6"/>
      <c r="O371" s="6"/>
      <c r="P371" s="6"/>
      <c r="Q371" s="6"/>
      <c r="R371" s="6"/>
    </row>
    <row r="372" spans="2:18" x14ac:dyDescent="0.25">
      <c r="B372" s="6"/>
      <c r="C372" s="6"/>
      <c r="D372" s="6"/>
      <c r="E372" s="6"/>
      <c r="F372" s="6"/>
      <c r="G372" s="6"/>
      <c r="H372" s="6"/>
      <c r="I372" s="6"/>
      <c r="J372" s="6"/>
      <c r="K372" s="6"/>
      <c r="L372" s="6"/>
      <c r="M372" s="6"/>
      <c r="N372" s="6"/>
      <c r="O372" s="6"/>
      <c r="P372" s="6"/>
      <c r="Q372" s="6"/>
      <c r="R372" s="6"/>
    </row>
    <row r="373" spans="2:18" x14ac:dyDescent="0.25">
      <c r="B373" s="6"/>
      <c r="C373" s="6"/>
      <c r="D373" s="6"/>
      <c r="E373" s="6"/>
      <c r="F373" s="6"/>
      <c r="G373" s="6"/>
      <c r="H373" s="6"/>
      <c r="I373" s="6"/>
      <c r="J373" s="6"/>
      <c r="K373" s="6"/>
      <c r="L373" s="6"/>
      <c r="M373" s="6"/>
      <c r="N373" s="6"/>
      <c r="O373" s="6"/>
      <c r="P373" s="6"/>
      <c r="Q373" s="6"/>
      <c r="R373" s="6"/>
    </row>
    <row r="374" spans="2:18" x14ac:dyDescent="0.25">
      <c r="B374" s="6"/>
      <c r="C374" s="6"/>
      <c r="D374" s="6"/>
      <c r="E374" s="6"/>
      <c r="F374" s="6"/>
      <c r="G374" s="6"/>
      <c r="H374" s="6"/>
      <c r="I374" s="6"/>
      <c r="J374" s="6"/>
      <c r="K374" s="6"/>
      <c r="L374" s="6"/>
      <c r="M374" s="6"/>
      <c r="N374" s="6"/>
      <c r="O374" s="6"/>
      <c r="P374" s="6"/>
      <c r="Q374" s="6"/>
      <c r="R374" s="6"/>
    </row>
    <row r="375" spans="2:18" x14ac:dyDescent="0.25">
      <c r="B375" s="6"/>
      <c r="C375" s="6"/>
      <c r="D375" s="6"/>
      <c r="E375" s="6"/>
      <c r="F375" s="6"/>
      <c r="G375" s="6"/>
      <c r="H375" s="6"/>
      <c r="I375" s="6"/>
      <c r="J375" s="6"/>
      <c r="K375" s="6"/>
      <c r="L375" s="6"/>
      <c r="M375" s="6"/>
      <c r="N375" s="6"/>
      <c r="O375" s="6"/>
      <c r="P375" s="6"/>
      <c r="Q375" s="6"/>
      <c r="R375" s="6"/>
    </row>
    <row r="376" spans="2:18" x14ac:dyDescent="0.25">
      <c r="B376" s="6"/>
      <c r="C376" s="6"/>
      <c r="D376" s="6"/>
      <c r="E376" s="6"/>
      <c r="F376" s="6"/>
      <c r="G376" s="6"/>
      <c r="H376" s="6"/>
      <c r="I376" s="6"/>
      <c r="J376" s="6"/>
      <c r="K376" s="6"/>
      <c r="L376" s="6"/>
      <c r="M376" s="6"/>
      <c r="N376" s="6"/>
      <c r="O376" s="6"/>
      <c r="P376" s="6"/>
      <c r="Q376" s="6"/>
      <c r="R376" s="6"/>
    </row>
    <row r="377" spans="2:18" x14ac:dyDescent="0.25">
      <c r="B377" s="6"/>
      <c r="C377" s="6"/>
      <c r="D377" s="6"/>
      <c r="E377" s="6"/>
      <c r="F377" s="6"/>
      <c r="G377" s="6"/>
      <c r="H377" s="6"/>
      <c r="I377" s="6"/>
      <c r="J377" s="6"/>
      <c r="K377" s="6"/>
      <c r="L377" s="6"/>
      <c r="M377" s="6"/>
      <c r="N377" s="6"/>
      <c r="O377" s="6"/>
      <c r="P377" s="6"/>
      <c r="Q377" s="6"/>
      <c r="R377" s="6"/>
    </row>
    <row r="378" spans="2:18" x14ac:dyDescent="0.25">
      <c r="B378" s="6"/>
      <c r="C378" s="6"/>
      <c r="D378" s="6"/>
      <c r="E378" s="6"/>
      <c r="F378" s="6"/>
      <c r="G378" s="6"/>
      <c r="H378" s="6"/>
      <c r="I378" s="6"/>
      <c r="J378" s="6"/>
      <c r="K378" s="6"/>
      <c r="L378" s="6"/>
      <c r="M378" s="6"/>
      <c r="N378" s="6"/>
      <c r="O378" s="6"/>
      <c r="P378" s="6"/>
      <c r="Q378" s="6"/>
      <c r="R378" s="6"/>
    </row>
    <row r="379" spans="2:18" x14ac:dyDescent="0.25">
      <c r="B379" s="6"/>
      <c r="C379" s="6"/>
      <c r="D379" s="6"/>
      <c r="E379" s="6"/>
      <c r="F379" s="6"/>
      <c r="G379" s="6"/>
      <c r="H379" s="6"/>
      <c r="I379" s="6"/>
      <c r="J379" s="6"/>
      <c r="K379" s="6"/>
      <c r="L379" s="6"/>
      <c r="M379" s="6"/>
      <c r="N379" s="6"/>
      <c r="O379" s="6"/>
      <c r="P379" s="6"/>
      <c r="Q379" s="6"/>
      <c r="R379" s="6"/>
    </row>
    <row r="380" spans="2:18" x14ac:dyDescent="0.25">
      <c r="B380" s="6"/>
      <c r="C380" s="6"/>
      <c r="D380" s="6"/>
      <c r="E380" s="6"/>
      <c r="F380" s="6"/>
      <c r="G380" s="6"/>
      <c r="H380" s="6"/>
      <c r="I380" s="6"/>
      <c r="J380" s="6"/>
      <c r="K380" s="6"/>
      <c r="L380" s="6"/>
      <c r="M380" s="6"/>
      <c r="N380" s="6"/>
      <c r="O380" s="6"/>
      <c r="P380" s="6"/>
      <c r="Q380" s="6"/>
      <c r="R380" s="6"/>
    </row>
    <row r="381" spans="2:18" x14ac:dyDescent="0.25">
      <c r="B381" s="6"/>
      <c r="C381" s="6"/>
      <c r="D381" s="6"/>
      <c r="E381" s="6"/>
      <c r="F381" s="6"/>
      <c r="G381" s="6"/>
      <c r="H381" s="6"/>
      <c r="I381" s="6"/>
      <c r="J381" s="6"/>
      <c r="K381" s="6"/>
      <c r="L381" s="6"/>
      <c r="M381" s="6"/>
      <c r="N381" s="6"/>
      <c r="O381" s="6"/>
      <c r="P381" s="6"/>
      <c r="Q381" s="6"/>
      <c r="R381" s="6"/>
    </row>
    <row r="382" spans="2:18" x14ac:dyDescent="0.25">
      <c r="B382" s="6"/>
      <c r="C382" s="6"/>
      <c r="D382" s="6"/>
      <c r="E382" s="6"/>
      <c r="F382" s="6"/>
      <c r="G382" s="6"/>
      <c r="H382" s="6"/>
      <c r="I382" s="6"/>
      <c r="J382" s="6"/>
      <c r="K382" s="6"/>
      <c r="L382" s="6"/>
      <c r="M382" s="6"/>
      <c r="N382" s="6"/>
      <c r="O382" s="6"/>
      <c r="P382" s="6"/>
      <c r="Q382" s="6"/>
      <c r="R382" s="6"/>
    </row>
    <row r="383" spans="2:18" x14ac:dyDescent="0.25">
      <c r="B383" s="6"/>
      <c r="C383" s="6"/>
      <c r="D383" s="6"/>
      <c r="E383" s="6"/>
      <c r="F383" s="6"/>
      <c r="G383" s="6"/>
      <c r="H383" s="6"/>
      <c r="I383" s="6"/>
      <c r="J383" s="6"/>
      <c r="K383" s="6"/>
      <c r="L383" s="6"/>
      <c r="M383" s="6"/>
      <c r="N383" s="6"/>
      <c r="O383" s="6"/>
      <c r="P383" s="6"/>
      <c r="Q383" s="6"/>
      <c r="R383" s="6"/>
    </row>
    <row r="384" spans="2:18" x14ac:dyDescent="0.25">
      <c r="B384" s="6"/>
      <c r="C384" s="6"/>
      <c r="D384" s="6"/>
      <c r="E384" s="6"/>
      <c r="F384" s="6"/>
      <c r="G384" s="6"/>
      <c r="H384" s="6"/>
      <c r="I384" s="6"/>
      <c r="J384" s="6"/>
      <c r="K384" s="6"/>
      <c r="L384" s="6"/>
      <c r="M384" s="6"/>
      <c r="N384" s="6"/>
      <c r="O384" s="6"/>
      <c r="P384" s="6"/>
      <c r="Q384" s="6"/>
      <c r="R384" s="6"/>
    </row>
    <row r="385" spans="2:18" x14ac:dyDescent="0.25">
      <c r="B385" s="6"/>
      <c r="C385" s="6"/>
      <c r="D385" s="6"/>
      <c r="E385" s="6"/>
      <c r="F385" s="6"/>
      <c r="G385" s="6"/>
      <c r="H385" s="6"/>
      <c r="I385" s="6"/>
      <c r="J385" s="6"/>
      <c r="K385" s="6"/>
      <c r="L385" s="6"/>
      <c r="M385" s="6"/>
      <c r="N385" s="6"/>
      <c r="O385" s="6"/>
      <c r="P385" s="6"/>
      <c r="Q385" s="6"/>
      <c r="R385" s="6"/>
    </row>
    <row r="386" spans="2:18" x14ac:dyDescent="0.25">
      <c r="B386" s="6"/>
      <c r="C386" s="6"/>
      <c r="D386" s="6"/>
      <c r="E386" s="6"/>
      <c r="F386" s="6"/>
      <c r="G386" s="6"/>
      <c r="H386" s="6"/>
      <c r="I386" s="6"/>
      <c r="J386" s="6"/>
      <c r="K386" s="6"/>
      <c r="L386" s="6"/>
      <c r="M386" s="6"/>
      <c r="N386" s="6"/>
      <c r="O386" s="6"/>
      <c r="P386" s="6"/>
      <c r="Q386" s="6"/>
      <c r="R386" s="6"/>
    </row>
    <row r="387" spans="2:18" x14ac:dyDescent="0.25">
      <c r="B387" s="6"/>
      <c r="C387" s="6"/>
      <c r="D387" s="6"/>
      <c r="E387" s="6"/>
      <c r="F387" s="6"/>
      <c r="G387" s="6"/>
      <c r="H387" s="6"/>
      <c r="I387" s="6"/>
      <c r="J387" s="6"/>
      <c r="K387" s="6"/>
      <c r="L387" s="6"/>
      <c r="M387" s="6"/>
      <c r="N387" s="6"/>
      <c r="O387" s="6"/>
      <c r="P387" s="6"/>
      <c r="Q387" s="6"/>
      <c r="R387" s="6"/>
    </row>
    <row r="388" spans="2:18" x14ac:dyDescent="0.25">
      <c r="B388" s="6"/>
      <c r="C388" s="6"/>
      <c r="D388" s="6"/>
      <c r="E388" s="6"/>
      <c r="F388" s="6"/>
      <c r="G388" s="6"/>
      <c r="H388" s="6"/>
      <c r="I388" s="6"/>
      <c r="J388" s="6"/>
      <c r="K388" s="6"/>
      <c r="L388" s="6"/>
      <c r="M388" s="6"/>
      <c r="N388" s="6"/>
      <c r="O388" s="6"/>
      <c r="P388" s="6"/>
      <c r="Q388" s="6"/>
      <c r="R388" s="6"/>
    </row>
    <row r="389" spans="2:18" x14ac:dyDescent="0.25">
      <c r="B389" s="6"/>
      <c r="C389" s="6"/>
      <c r="D389" s="6"/>
      <c r="E389" s="6"/>
      <c r="F389" s="6"/>
      <c r="G389" s="6"/>
      <c r="H389" s="6"/>
      <c r="I389" s="6"/>
      <c r="J389" s="6"/>
      <c r="K389" s="6"/>
      <c r="L389" s="6"/>
      <c r="M389" s="6"/>
      <c r="N389" s="6"/>
      <c r="O389" s="6"/>
      <c r="P389" s="6"/>
      <c r="Q389" s="6"/>
      <c r="R389" s="6"/>
    </row>
    <row r="390" spans="2:18" x14ac:dyDescent="0.25">
      <c r="B390" s="6"/>
      <c r="C390" s="6"/>
      <c r="D390" s="6"/>
      <c r="E390" s="6"/>
      <c r="F390" s="6"/>
      <c r="G390" s="6"/>
      <c r="H390" s="6"/>
      <c r="I390" s="6"/>
      <c r="J390" s="6"/>
      <c r="K390" s="6"/>
      <c r="L390" s="6"/>
      <c r="M390" s="6"/>
      <c r="N390" s="6"/>
      <c r="O390" s="6"/>
      <c r="P390" s="6"/>
      <c r="Q390" s="6"/>
      <c r="R390" s="6"/>
    </row>
    <row r="391" spans="2:18" x14ac:dyDescent="0.25">
      <c r="B391" s="6"/>
      <c r="C391" s="6"/>
      <c r="D391" s="6"/>
      <c r="E391" s="6"/>
      <c r="F391" s="6"/>
      <c r="G391" s="6"/>
      <c r="H391" s="6"/>
      <c r="I391" s="6"/>
      <c r="J391" s="6"/>
      <c r="K391" s="6"/>
      <c r="L391" s="6"/>
      <c r="M391" s="6"/>
      <c r="N391" s="6"/>
      <c r="O391" s="6"/>
      <c r="P391" s="6"/>
      <c r="Q391" s="6"/>
      <c r="R391" s="6"/>
    </row>
    <row r="392" spans="2:18" x14ac:dyDescent="0.25">
      <c r="B392" s="6"/>
      <c r="C392" s="6"/>
      <c r="D392" s="6"/>
      <c r="E392" s="6"/>
      <c r="F392" s="6"/>
      <c r="G392" s="6"/>
      <c r="H392" s="6"/>
      <c r="I392" s="6"/>
      <c r="J392" s="6"/>
      <c r="K392" s="6"/>
      <c r="L392" s="6"/>
      <c r="M392" s="6"/>
      <c r="N392" s="6"/>
      <c r="O392" s="6"/>
      <c r="P392" s="6"/>
      <c r="Q392" s="6"/>
      <c r="R392" s="6"/>
    </row>
    <row r="393" spans="2:18" x14ac:dyDescent="0.25">
      <c r="B393" s="6"/>
      <c r="C393" s="6"/>
      <c r="D393" s="6"/>
      <c r="E393" s="6"/>
      <c r="F393" s="6"/>
      <c r="G393" s="6"/>
      <c r="H393" s="6"/>
      <c r="I393" s="6"/>
      <c r="J393" s="6"/>
      <c r="K393" s="6"/>
      <c r="L393" s="6"/>
      <c r="M393" s="6"/>
      <c r="N393" s="6"/>
      <c r="O393" s="6"/>
      <c r="P393" s="6"/>
      <c r="Q393" s="6"/>
      <c r="R393" s="6"/>
    </row>
    <row r="394" spans="2:18" x14ac:dyDescent="0.25">
      <c r="B394" s="6"/>
      <c r="C394" s="6"/>
      <c r="D394" s="6"/>
      <c r="E394" s="6"/>
      <c r="F394" s="6"/>
      <c r="G394" s="6"/>
      <c r="H394" s="6"/>
      <c r="I394" s="6"/>
      <c r="J394" s="6"/>
      <c r="K394" s="6"/>
      <c r="L394" s="6"/>
      <c r="M394" s="6"/>
      <c r="N394" s="6"/>
      <c r="O394" s="6"/>
      <c r="P394" s="6"/>
      <c r="Q394" s="6"/>
      <c r="R394" s="6"/>
    </row>
    <row r="395" spans="2:18" x14ac:dyDescent="0.25">
      <c r="B395" s="6"/>
      <c r="C395" s="6"/>
      <c r="D395" s="6"/>
      <c r="E395" s="6"/>
      <c r="F395" s="6"/>
      <c r="G395" s="6"/>
      <c r="H395" s="6"/>
      <c r="I395" s="6"/>
      <c r="J395" s="6"/>
      <c r="K395" s="6"/>
      <c r="L395" s="6"/>
      <c r="M395" s="6"/>
      <c r="N395" s="6"/>
      <c r="O395" s="6"/>
      <c r="P395" s="6"/>
      <c r="Q395" s="6"/>
      <c r="R395" s="6"/>
    </row>
    <row r="396" spans="2:18" x14ac:dyDescent="0.25">
      <c r="B396" s="6"/>
      <c r="C396" s="6"/>
      <c r="D396" s="6"/>
      <c r="E396" s="6"/>
      <c r="F396" s="6"/>
      <c r="G396" s="6"/>
      <c r="H396" s="6"/>
      <c r="I396" s="6"/>
      <c r="J396" s="6"/>
      <c r="K396" s="6"/>
      <c r="L396" s="6"/>
      <c r="M396" s="6"/>
      <c r="N396" s="6"/>
      <c r="O396" s="6"/>
      <c r="P396" s="6"/>
      <c r="Q396" s="6"/>
      <c r="R396" s="6"/>
    </row>
    <row r="397" spans="2:18" x14ac:dyDescent="0.25">
      <c r="B397" s="6"/>
      <c r="C397" s="6"/>
      <c r="D397" s="6"/>
      <c r="E397" s="6"/>
      <c r="F397" s="6"/>
      <c r="G397" s="6"/>
      <c r="H397" s="6"/>
      <c r="I397" s="6"/>
      <c r="J397" s="6"/>
      <c r="K397" s="6"/>
      <c r="L397" s="6"/>
      <c r="M397" s="6"/>
      <c r="N397" s="6"/>
      <c r="O397" s="6"/>
      <c r="P397" s="6"/>
      <c r="Q397" s="6"/>
      <c r="R397" s="6"/>
    </row>
    <row r="398" spans="2:18" x14ac:dyDescent="0.25">
      <c r="B398" s="6"/>
      <c r="C398" s="6"/>
      <c r="D398" s="6"/>
      <c r="E398" s="6"/>
      <c r="F398" s="6"/>
      <c r="G398" s="6"/>
      <c r="H398" s="6"/>
      <c r="I398" s="6"/>
      <c r="J398" s="6"/>
      <c r="K398" s="6"/>
      <c r="L398" s="6"/>
      <c r="M398" s="6"/>
      <c r="N398" s="6"/>
      <c r="O398" s="6"/>
      <c r="P398" s="6"/>
      <c r="Q398" s="6"/>
      <c r="R398" s="6"/>
    </row>
    <row r="399" spans="2:18" x14ac:dyDescent="0.25">
      <c r="B399" s="6"/>
      <c r="C399" s="6"/>
      <c r="D399" s="6"/>
      <c r="E399" s="6"/>
      <c r="F399" s="6"/>
      <c r="G399" s="6"/>
      <c r="H399" s="6"/>
      <c r="I399" s="6"/>
      <c r="J399" s="6"/>
      <c r="K399" s="6"/>
      <c r="L399" s="6"/>
      <c r="M399" s="6"/>
      <c r="N399" s="6"/>
      <c r="O399" s="6"/>
      <c r="P399" s="6"/>
      <c r="Q399" s="6"/>
      <c r="R399" s="6"/>
    </row>
    <row r="400" spans="2:18" x14ac:dyDescent="0.25">
      <c r="B400" s="6"/>
      <c r="C400" s="6"/>
      <c r="D400" s="6"/>
      <c r="E400" s="6"/>
      <c r="F400" s="6"/>
      <c r="G400" s="6"/>
      <c r="H400" s="6"/>
      <c r="I400" s="6"/>
      <c r="J400" s="6"/>
      <c r="K400" s="6"/>
      <c r="L400" s="6"/>
      <c r="M400" s="6"/>
      <c r="N400" s="6"/>
      <c r="O400" s="6"/>
      <c r="P400" s="6"/>
      <c r="Q400" s="6"/>
      <c r="R400" s="6"/>
    </row>
    <row r="401" spans="2:18" x14ac:dyDescent="0.25">
      <c r="B401" s="6"/>
      <c r="C401" s="6"/>
      <c r="D401" s="6"/>
      <c r="E401" s="6"/>
      <c r="F401" s="6"/>
      <c r="G401" s="6"/>
      <c r="H401" s="6"/>
      <c r="I401" s="6"/>
      <c r="J401" s="6"/>
      <c r="K401" s="6"/>
      <c r="L401" s="6"/>
      <c r="M401" s="6"/>
      <c r="N401" s="6"/>
      <c r="O401" s="6"/>
      <c r="P401" s="6"/>
      <c r="Q401" s="6"/>
      <c r="R401" s="6"/>
    </row>
    <row r="402" spans="2:18" x14ac:dyDescent="0.25">
      <c r="B402" s="6"/>
      <c r="C402" s="6"/>
      <c r="D402" s="6"/>
      <c r="E402" s="6"/>
      <c r="F402" s="6"/>
      <c r="G402" s="6"/>
      <c r="H402" s="6"/>
      <c r="I402" s="6"/>
      <c r="J402" s="6"/>
      <c r="K402" s="6"/>
      <c r="L402" s="6"/>
      <c r="M402" s="6"/>
      <c r="N402" s="6"/>
      <c r="O402" s="6"/>
      <c r="P402" s="6"/>
      <c r="Q402" s="6"/>
      <c r="R402" s="6"/>
    </row>
    <row r="403" spans="2:18" x14ac:dyDescent="0.25">
      <c r="B403" s="6"/>
      <c r="C403" s="6"/>
      <c r="D403" s="6"/>
      <c r="E403" s="6"/>
      <c r="F403" s="6"/>
      <c r="G403" s="6"/>
      <c r="H403" s="6"/>
      <c r="I403" s="6"/>
      <c r="J403" s="6"/>
      <c r="K403" s="6"/>
      <c r="L403" s="6"/>
      <c r="M403" s="6"/>
      <c r="N403" s="6"/>
      <c r="O403" s="6"/>
      <c r="P403" s="6"/>
      <c r="Q403" s="6"/>
      <c r="R403" s="6"/>
    </row>
    <row r="404" spans="2:18" x14ac:dyDescent="0.25">
      <c r="B404" s="6"/>
      <c r="C404" s="6"/>
      <c r="D404" s="6"/>
      <c r="E404" s="6"/>
      <c r="F404" s="6"/>
      <c r="G404" s="6"/>
      <c r="H404" s="6"/>
      <c r="I404" s="6"/>
      <c r="J404" s="6"/>
      <c r="K404" s="6"/>
      <c r="L404" s="6"/>
      <c r="M404" s="6"/>
      <c r="N404" s="6"/>
      <c r="O404" s="6"/>
      <c r="P404" s="6"/>
      <c r="Q404" s="6"/>
      <c r="R404" s="6"/>
    </row>
    <row r="405" spans="2:18" x14ac:dyDescent="0.25">
      <c r="B405" s="6"/>
      <c r="C405" s="6"/>
      <c r="D405" s="6"/>
      <c r="E405" s="6"/>
      <c r="F405" s="6"/>
      <c r="G405" s="6"/>
      <c r="H405" s="6"/>
      <c r="I405" s="6"/>
      <c r="J405" s="6"/>
      <c r="K405" s="6"/>
      <c r="L405" s="6"/>
      <c r="M405" s="6"/>
      <c r="N405" s="6"/>
      <c r="O405" s="6"/>
      <c r="P405" s="6"/>
      <c r="Q405" s="6"/>
      <c r="R405" s="6"/>
    </row>
    <row r="406" spans="2:18" x14ac:dyDescent="0.25">
      <c r="B406" s="6"/>
      <c r="C406" s="6"/>
      <c r="D406" s="6"/>
      <c r="E406" s="6"/>
      <c r="F406" s="6"/>
      <c r="G406" s="6"/>
      <c r="H406" s="6"/>
      <c r="I406" s="6"/>
      <c r="J406" s="6"/>
      <c r="K406" s="6"/>
      <c r="L406" s="6"/>
      <c r="M406" s="6"/>
      <c r="N406" s="6"/>
      <c r="O406" s="6"/>
      <c r="P406" s="6"/>
      <c r="Q406" s="6"/>
      <c r="R406" s="6"/>
    </row>
    <row r="407" spans="2:18" x14ac:dyDescent="0.25">
      <c r="B407" s="6"/>
      <c r="C407" s="6"/>
      <c r="D407" s="6"/>
      <c r="E407" s="6"/>
      <c r="F407" s="6"/>
      <c r="G407" s="6"/>
      <c r="H407" s="6"/>
      <c r="I407" s="6"/>
      <c r="J407" s="6"/>
      <c r="K407" s="6"/>
      <c r="L407" s="6"/>
      <c r="M407" s="6"/>
      <c r="N407" s="6"/>
      <c r="O407" s="6"/>
      <c r="P407" s="6"/>
      <c r="Q407" s="6"/>
      <c r="R407" s="6"/>
    </row>
    <row r="408" spans="2:18" x14ac:dyDescent="0.25">
      <c r="B408" s="6"/>
      <c r="C408" s="6"/>
      <c r="D408" s="6"/>
      <c r="E408" s="6"/>
      <c r="F408" s="6"/>
      <c r="G408" s="6"/>
      <c r="H408" s="6"/>
      <c r="I408" s="6"/>
      <c r="J408" s="6"/>
      <c r="K408" s="6"/>
      <c r="L408" s="6"/>
      <c r="M408" s="6"/>
      <c r="N408" s="6"/>
      <c r="O408" s="6"/>
      <c r="P408" s="6"/>
      <c r="Q408" s="6"/>
      <c r="R408" s="6"/>
    </row>
    <row r="409" spans="2:18" x14ac:dyDescent="0.25">
      <c r="B409" s="6"/>
      <c r="C409" s="6"/>
      <c r="D409" s="6"/>
      <c r="E409" s="6"/>
      <c r="F409" s="6"/>
      <c r="G409" s="6"/>
      <c r="H409" s="6"/>
      <c r="I409" s="6"/>
      <c r="J409" s="6"/>
      <c r="K409" s="6"/>
      <c r="L409" s="6"/>
      <c r="M409" s="6"/>
      <c r="N409" s="6"/>
      <c r="O409" s="6"/>
      <c r="P409" s="6"/>
      <c r="Q409" s="6"/>
      <c r="R409" s="6"/>
    </row>
    <row r="410" spans="2:18" x14ac:dyDescent="0.25">
      <c r="B410" s="6"/>
      <c r="C410" s="6"/>
      <c r="D410" s="6"/>
      <c r="E410" s="6"/>
      <c r="F410" s="6"/>
      <c r="G410" s="6"/>
      <c r="H410" s="6"/>
      <c r="I410" s="6"/>
      <c r="J410" s="6"/>
      <c r="K410" s="6"/>
      <c r="L410" s="6"/>
      <c r="M410" s="6"/>
      <c r="N410" s="6"/>
      <c r="O410" s="6"/>
      <c r="P410" s="6"/>
      <c r="Q410" s="6"/>
      <c r="R410" s="6"/>
    </row>
    <row r="411" spans="2:18" x14ac:dyDescent="0.25">
      <c r="B411" s="6"/>
      <c r="C411" s="6"/>
      <c r="D411" s="6"/>
      <c r="E411" s="6"/>
      <c r="F411" s="6"/>
      <c r="G411" s="6"/>
      <c r="H411" s="6"/>
      <c r="I411" s="6"/>
      <c r="J411" s="6"/>
      <c r="K411" s="6"/>
      <c r="L411" s="6"/>
      <c r="M411" s="6"/>
      <c r="N411" s="6"/>
      <c r="O411" s="6"/>
      <c r="P411" s="6"/>
      <c r="Q411" s="6"/>
      <c r="R411" s="6"/>
    </row>
    <row r="412" spans="2:18" x14ac:dyDescent="0.25">
      <c r="B412" s="6"/>
      <c r="C412" s="6"/>
      <c r="D412" s="6"/>
      <c r="E412" s="6"/>
      <c r="F412" s="6"/>
      <c r="G412" s="6"/>
      <c r="H412" s="6"/>
      <c r="I412" s="6"/>
      <c r="J412" s="6"/>
      <c r="K412" s="6"/>
      <c r="L412" s="6"/>
      <c r="M412" s="6"/>
      <c r="N412" s="6"/>
      <c r="O412" s="6"/>
      <c r="P412" s="6"/>
      <c r="Q412" s="6"/>
      <c r="R412" s="6"/>
    </row>
    <row r="413" spans="2:18" x14ac:dyDescent="0.25">
      <c r="B413" s="6"/>
      <c r="C413" s="6"/>
      <c r="D413" s="6"/>
      <c r="E413" s="6"/>
      <c r="F413" s="6"/>
      <c r="G413" s="6"/>
      <c r="H413" s="6"/>
      <c r="I413" s="6"/>
      <c r="J413" s="6"/>
      <c r="K413" s="6"/>
      <c r="L413" s="6"/>
      <c r="M413" s="6"/>
      <c r="N413" s="6"/>
      <c r="O413" s="6"/>
      <c r="P413" s="6"/>
      <c r="Q413" s="6"/>
      <c r="R413" s="6"/>
    </row>
    <row r="414" spans="2:18" x14ac:dyDescent="0.25">
      <c r="B414" s="6"/>
      <c r="C414" s="6"/>
      <c r="D414" s="6"/>
      <c r="E414" s="6"/>
      <c r="F414" s="6"/>
      <c r="G414" s="6"/>
      <c r="H414" s="6"/>
      <c r="I414" s="6"/>
      <c r="J414" s="6"/>
      <c r="K414" s="6"/>
      <c r="L414" s="6"/>
      <c r="M414" s="6"/>
      <c r="N414" s="6"/>
      <c r="O414" s="6"/>
      <c r="P414" s="6"/>
      <c r="Q414" s="6"/>
      <c r="R414" s="6"/>
    </row>
    <row r="415" spans="2:18" x14ac:dyDescent="0.25">
      <c r="B415" s="6"/>
      <c r="C415" s="6"/>
      <c r="D415" s="6"/>
      <c r="E415" s="6"/>
      <c r="F415" s="6"/>
      <c r="G415" s="6"/>
      <c r="H415" s="6"/>
      <c r="I415" s="6"/>
      <c r="J415" s="6"/>
      <c r="K415" s="6"/>
      <c r="L415" s="6"/>
      <c r="M415" s="6"/>
      <c r="N415" s="6"/>
      <c r="O415" s="6"/>
      <c r="P415" s="6"/>
      <c r="Q415" s="6"/>
      <c r="R415" s="6"/>
    </row>
    <row r="416" spans="2:18" x14ac:dyDescent="0.25">
      <c r="B416" s="6"/>
      <c r="C416" s="6"/>
      <c r="D416" s="6"/>
      <c r="E416" s="6"/>
      <c r="F416" s="6"/>
      <c r="G416" s="6"/>
      <c r="H416" s="6"/>
      <c r="I416" s="6"/>
      <c r="J416" s="6"/>
      <c r="K416" s="6"/>
      <c r="L416" s="6"/>
      <c r="M416" s="6"/>
      <c r="N416" s="6"/>
      <c r="O416" s="6"/>
      <c r="P416" s="6"/>
      <c r="Q416" s="6"/>
      <c r="R416" s="6"/>
    </row>
    <row r="417" spans="2:18" x14ac:dyDescent="0.25">
      <c r="B417" s="6"/>
      <c r="C417" s="6"/>
      <c r="D417" s="6"/>
      <c r="E417" s="6"/>
      <c r="F417" s="6"/>
      <c r="G417" s="6"/>
      <c r="H417" s="6"/>
      <c r="I417" s="6"/>
      <c r="J417" s="6"/>
      <c r="K417" s="6"/>
      <c r="L417" s="6"/>
      <c r="M417" s="6"/>
      <c r="N417" s="6"/>
      <c r="O417" s="6"/>
      <c r="P417" s="6"/>
      <c r="Q417" s="6"/>
      <c r="R417" s="6"/>
    </row>
    <row r="418" spans="2:18" x14ac:dyDescent="0.25">
      <c r="B418" s="6"/>
      <c r="C418" s="6"/>
      <c r="D418" s="6"/>
      <c r="E418" s="6"/>
      <c r="F418" s="6"/>
      <c r="G418" s="6"/>
      <c r="H418" s="6"/>
      <c r="I418" s="6"/>
      <c r="J418" s="6"/>
      <c r="K418" s="6"/>
      <c r="L418" s="6"/>
      <c r="M418" s="6"/>
      <c r="N418" s="6"/>
      <c r="O418" s="6"/>
      <c r="P418" s="6"/>
      <c r="Q418" s="6"/>
      <c r="R418" s="6"/>
    </row>
    <row r="419" spans="2:18" x14ac:dyDescent="0.25">
      <c r="B419" s="6"/>
      <c r="C419" s="6"/>
      <c r="D419" s="6"/>
      <c r="E419" s="6"/>
      <c r="F419" s="6"/>
      <c r="G419" s="6"/>
      <c r="H419" s="6"/>
      <c r="I419" s="6"/>
      <c r="J419" s="6"/>
      <c r="K419" s="6"/>
      <c r="L419" s="6"/>
      <c r="M419" s="6"/>
      <c r="N419" s="6"/>
      <c r="O419" s="6"/>
      <c r="P419" s="6"/>
      <c r="Q419" s="6"/>
      <c r="R419" s="6"/>
    </row>
    <row r="420" spans="2:18" x14ac:dyDescent="0.25">
      <c r="B420" s="6"/>
      <c r="C420" s="6"/>
      <c r="D420" s="6"/>
      <c r="E420" s="6"/>
      <c r="F420" s="6"/>
      <c r="G420" s="6"/>
      <c r="H420" s="6"/>
      <c r="I420" s="6"/>
      <c r="J420" s="6"/>
      <c r="K420" s="6"/>
      <c r="L420" s="6"/>
      <c r="M420" s="6"/>
      <c r="N420" s="6"/>
      <c r="O420" s="6"/>
      <c r="P420" s="6"/>
      <c r="Q420" s="6"/>
      <c r="R420" s="6"/>
    </row>
    <row r="421" spans="2:18" x14ac:dyDescent="0.25">
      <c r="B421" s="6"/>
      <c r="C421" s="6"/>
      <c r="D421" s="6"/>
      <c r="E421" s="6"/>
      <c r="F421" s="6"/>
      <c r="G421" s="6"/>
      <c r="H421" s="6"/>
      <c r="I421" s="6"/>
      <c r="J421" s="6"/>
      <c r="K421" s="6"/>
      <c r="L421" s="6"/>
      <c r="M421" s="6"/>
      <c r="N421" s="6"/>
      <c r="O421" s="6"/>
      <c r="P421" s="6"/>
      <c r="Q421" s="6"/>
      <c r="R421" s="6"/>
    </row>
    <row r="422" spans="2:18" x14ac:dyDescent="0.25">
      <c r="B422" s="6"/>
      <c r="C422" s="6"/>
      <c r="D422" s="6"/>
      <c r="E422" s="6"/>
      <c r="F422" s="6"/>
      <c r="G422" s="6"/>
      <c r="H422" s="6"/>
      <c r="I422" s="6"/>
      <c r="J422" s="6"/>
      <c r="K422" s="6"/>
      <c r="L422" s="6"/>
      <c r="M422" s="6"/>
      <c r="N422" s="6"/>
      <c r="O422" s="6"/>
      <c r="P422" s="6"/>
      <c r="Q422" s="6"/>
      <c r="R422" s="6"/>
    </row>
    <row r="423" spans="2:18" x14ac:dyDescent="0.25">
      <c r="B423" s="6"/>
      <c r="C423" s="6"/>
      <c r="D423" s="6"/>
      <c r="E423" s="6"/>
      <c r="F423" s="6"/>
      <c r="G423" s="6"/>
      <c r="H423" s="6"/>
      <c r="I423" s="6"/>
      <c r="J423" s="6"/>
      <c r="K423" s="6"/>
      <c r="L423" s="6"/>
      <c r="M423" s="6"/>
      <c r="N423" s="6"/>
      <c r="O423" s="6"/>
      <c r="P423" s="6"/>
      <c r="Q423" s="6"/>
      <c r="R423" s="6"/>
    </row>
    <row r="424" spans="2:18" x14ac:dyDescent="0.25">
      <c r="B424" s="6"/>
      <c r="C424" s="6"/>
      <c r="D424" s="6"/>
      <c r="E424" s="6"/>
      <c r="F424" s="6"/>
      <c r="G424" s="6"/>
      <c r="H424" s="6"/>
      <c r="I424" s="6"/>
      <c r="J424" s="6"/>
      <c r="K424" s="6"/>
      <c r="L424" s="6"/>
      <c r="M424" s="6"/>
      <c r="N424" s="6"/>
      <c r="O424" s="6"/>
      <c r="P424" s="6"/>
      <c r="Q424" s="6"/>
      <c r="R424" s="6"/>
    </row>
    <row r="425" spans="2:18" x14ac:dyDescent="0.25">
      <c r="B425" s="6"/>
      <c r="C425" s="6"/>
      <c r="D425" s="6"/>
      <c r="E425" s="6"/>
      <c r="F425" s="6"/>
      <c r="G425" s="6"/>
      <c r="H425" s="6"/>
      <c r="I425" s="6"/>
      <c r="J425" s="6"/>
      <c r="K425" s="6"/>
      <c r="L425" s="6"/>
      <c r="M425" s="6"/>
      <c r="N425" s="6"/>
      <c r="O425" s="6"/>
      <c r="P425" s="6"/>
      <c r="Q425" s="6"/>
      <c r="R425" s="6"/>
    </row>
    <row r="426" spans="2:18" x14ac:dyDescent="0.25">
      <c r="B426" s="6"/>
      <c r="C426" s="6"/>
      <c r="D426" s="6"/>
      <c r="E426" s="6"/>
      <c r="F426" s="6"/>
      <c r="G426" s="6"/>
      <c r="H426" s="6"/>
      <c r="I426" s="6"/>
      <c r="J426" s="6"/>
      <c r="K426" s="6"/>
      <c r="L426" s="6"/>
      <c r="M426" s="6"/>
      <c r="N426" s="6"/>
      <c r="O426" s="6"/>
      <c r="P426" s="6"/>
      <c r="Q426" s="6"/>
      <c r="R426" s="6"/>
    </row>
    <row r="427" spans="2:18" x14ac:dyDescent="0.25">
      <c r="B427" s="6"/>
      <c r="C427" s="6"/>
      <c r="D427" s="6"/>
      <c r="E427" s="6"/>
      <c r="F427" s="6"/>
      <c r="G427" s="6"/>
      <c r="H427" s="6"/>
      <c r="I427" s="6"/>
      <c r="J427" s="6"/>
      <c r="K427" s="6"/>
      <c r="L427" s="6"/>
      <c r="M427" s="6"/>
      <c r="N427" s="6"/>
      <c r="O427" s="6"/>
      <c r="P427" s="6"/>
      <c r="Q427" s="6"/>
      <c r="R427" s="6"/>
    </row>
    <row r="428" spans="2:18" x14ac:dyDescent="0.25">
      <c r="B428" s="6"/>
      <c r="C428" s="6"/>
      <c r="D428" s="6"/>
      <c r="E428" s="6"/>
      <c r="F428" s="6"/>
      <c r="G428" s="6"/>
      <c r="H428" s="6"/>
      <c r="I428" s="6"/>
      <c r="J428" s="6"/>
      <c r="K428" s="6"/>
      <c r="L428" s="6"/>
      <c r="M428" s="6"/>
      <c r="N428" s="6"/>
      <c r="O428" s="6"/>
      <c r="P428" s="6"/>
      <c r="Q428" s="6"/>
      <c r="R428" s="6"/>
    </row>
    <row r="429" spans="2:18" x14ac:dyDescent="0.25">
      <c r="B429" s="6"/>
      <c r="C429" s="6"/>
      <c r="D429" s="6"/>
      <c r="E429" s="6"/>
      <c r="F429" s="6"/>
      <c r="G429" s="6"/>
      <c r="H429" s="6"/>
      <c r="I429" s="6"/>
      <c r="J429" s="6"/>
      <c r="K429" s="6"/>
      <c r="L429" s="6"/>
      <c r="M429" s="6"/>
      <c r="N429" s="6"/>
      <c r="O429" s="6"/>
      <c r="P429" s="6"/>
      <c r="Q429" s="6"/>
      <c r="R429" s="6"/>
    </row>
    <row r="430" spans="2:18" x14ac:dyDescent="0.25">
      <c r="B430" s="6"/>
      <c r="C430" s="6"/>
      <c r="D430" s="6"/>
      <c r="E430" s="6"/>
      <c r="F430" s="6"/>
      <c r="G430" s="6"/>
      <c r="H430" s="6"/>
      <c r="I430" s="6"/>
      <c r="J430" s="6"/>
      <c r="K430" s="6"/>
      <c r="L430" s="6"/>
      <c r="M430" s="6"/>
      <c r="N430" s="6"/>
      <c r="O430" s="6"/>
      <c r="P430" s="6"/>
      <c r="Q430" s="6"/>
      <c r="R430" s="6"/>
    </row>
    <row r="431" spans="2:18" x14ac:dyDescent="0.25">
      <c r="B431" s="6"/>
      <c r="C431" s="6"/>
      <c r="D431" s="6"/>
      <c r="E431" s="6"/>
      <c r="F431" s="6"/>
      <c r="G431" s="6"/>
      <c r="H431" s="6"/>
      <c r="I431" s="6"/>
      <c r="J431" s="6"/>
      <c r="K431" s="6"/>
      <c r="L431" s="6"/>
      <c r="M431" s="6"/>
      <c r="N431" s="6"/>
      <c r="O431" s="6"/>
      <c r="P431" s="6"/>
      <c r="Q431" s="6"/>
      <c r="R431" s="6"/>
    </row>
    <row r="432" spans="2:18" x14ac:dyDescent="0.25">
      <c r="B432" s="6"/>
      <c r="C432" s="6"/>
      <c r="D432" s="6"/>
      <c r="E432" s="6"/>
      <c r="F432" s="6"/>
      <c r="G432" s="6"/>
      <c r="H432" s="6"/>
      <c r="I432" s="6"/>
      <c r="J432" s="6"/>
      <c r="K432" s="6"/>
      <c r="L432" s="6"/>
      <c r="M432" s="6"/>
      <c r="N432" s="6"/>
      <c r="O432" s="6"/>
      <c r="P432" s="6"/>
      <c r="Q432" s="6"/>
      <c r="R432" s="6"/>
    </row>
    <row r="433" spans="2:18" x14ac:dyDescent="0.25">
      <c r="B433" s="6"/>
      <c r="C433" s="6"/>
      <c r="D433" s="6"/>
      <c r="E433" s="6"/>
      <c r="F433" s="6"/>
      <c r="G433" s="6"/>
      <c r="H433" s="6"/>
      <c r="I433" s="6"/>
      <c r="J433" s="6"/>
      <c r="K433" s="6"/>
      <c r="L433" s="6"/>
      <c r="M433" s="6"/>
      <c r="N433" s="6"/>
      <c r="O433" s="6"/>
      <c r="P433" s="6"/>
      <c r="Q433" s="6"/>
      <c r="R433" s="6"/>
    </row>
    <row r="434" spans="2:18" x14ac:dyDescent="0.25">
      <c r="B434" s="6"/>
      <c r="C434" s="6"/>
      <c r="D434" s="6"/>
      <c r="E434" s="6"/>
      <c r="F434" s="6"/>
      <c r="G434" s="6"/>
      <c r="H434" s="6"/>
      <c r="I434" s="6"/>
      <c r="J434" s="6"/>
      <c r="K434" s="6"/>
      <c r="L434" s="6"/>
      <c r="M434" s="6"/>
      <c r="N434" s="6"/>
      <c r="O434" s="6"/>
      <c r="P434" s="6"/>
      <c r="Q434" s="6"/>
      <c r="R434" s="6"/>
    </row>
    <row r="435" spans="2:18" x14ac:dyDescent="0.25">
      <c r="B435" s="6"/>
      <c r="C435" s="6"/>
      <c r="D435" s="6"/>
      <c r="E435" s="6"/>
      <c r="F435" s="6"/>
      <c r="G435" s="6"/>
      <c r="H435" s="6"/>
      <c r="I435" s="6"/>
      <c r="J435" s="6"/>
      <c r="K435" s="6"/>
      <c r="L435" s="6"/>
      <c r="M435" s="6"/>
      <c r="N435" s="6"/>
      <c r="O435" s="6"/>
      <c r="P435" s="6"/>
      <c r="Q435" s="6"/>
      <c r="R435" s="6"/>
    </row>
    <row r="436" spans="2:18" x14ac:dyDescent="0.25">
      <c r="B436" s="6"/>
      <c r="C436" s="6"/>
      <c r="D436" s="6"/>
      <c r="E436" s="6"/>
      <c r="F436" s="6"/>
      <c r="G436" s="6"/>
      <c r="H436" s="6"/>
      <c r="I436" s="6"/>
      <c r="J436" s="6"/>
      <c r="K436" s="6"/>
      <c r="L436" s="6"/>
      <c r="M436" s="6"/>
      <c r="N436" s="6"/>
      <c r="O436" s="6"/>
      <c r="P436" s="6"/>
      <c r="Q436" s="6"/>
      <c r="R436" s="6"/>
    </row>
    <row r="437" spans="2:18" x14ac:dyDescent="0.25">
      <c r="B437" s="6"/>
      <c r="C437" s="6"/>
      <c r="D437" s="6"/>
      <c r="E437" s="6"/>
      <c r="F437" s="6"/>
      <c r="G437" s="6"/>
      <c r="H437" s="6"/>
      <c r="I437" s="6"/>
      <c r="J437" s="6"/>
      <c r="K437" s="6"/>
      <c r="L437" s="6"/>
      <c r="M437" s="6"/>
      <c r="N437" s="6"/>
      <c r="O437" s="6"/>
      <c r="P437" s="6"/>
      <c r="Q437" s="6"/>
      <c r="R437" s="6"/>
    </row>
    <row r="438" spans="2:18" x14ac:dyDescent="0.25">
      <c r="B438" s="6"/>
      <c r="C438" s="6"/>
      <c r="D438" s="6"/>
      <c r="E438" s="6"/>
      <c r="F438" s="6"/>
      <c r="G438" s="6"/>
      <c r="H438" s="6"/>
      <c r="I438" s="6"/>
      <c r="J438" s="6"/>
      <c r="K438" s="6"/>
      <c r="L438" s="6"/>
      <c r="M438" s="6"/>
      <c r="N438" s="6"/>
      <c r="O438" s="6"/>
      <c r="P438" s="6"/>
      <c r="Q438" s="6"/>
      <c r="R438" s="6"/>
    </row>
    <row r="439" spans="2:18" x14ac:dyDescent="0.25">
      <c r="B439" s="6"/>
      <c r="C439" s="6"/>
      <c r="D439" s="6"/>
      <c r="E439" s="6"/>
      <c r="F439" s="6"/>
      <c r="G439" s="6"/>
      <c r="H439" s="6"/>
      <c r="I439" s="6"/>
      <c r="J439" s="6"/>
      <c r="K439" s="6"/>
      <c r="L439" s="6"/>
      <c r="M439" s="6"/>
      <c r="N439" s="6"/>
      <c r="O439" s="6"/>
      <c r="P439" s="6"/>
      <c r="Q439" s="6"/>
      <c r="R439" s="6"/>
    </row>
    <row r="440" spans="2:18" x14ac:dyDescent="0.25">
      <c r="B440" s="6"/>
      <c r="C440" s="6"/>
      <c r="D440" s="6"/>
      <c r="E440" s="6"/>
      <c r="F440" s="6"/>
      <c r="G440" s="6"/>
      <c r="H440" s="6"/>
      <c r="I440" s="6"/>
      <c r="J440" s="6"/>
      <c r="K440" s="6"/>
      <c r="L440" s="6"/>
      <c r="M440" s="6"/>
      <c r="N440" s="6"/>
      <c r="O440" s="6"/>
      <c r="P440" s="6"/>
      <c r="Q440" s="6"/>
      <c r="R440" s="6"/>
    </row>
    <row r="441" spans="2:18" x14ac:dyDescent="0.25">
      <c r="B441" s="6"/>
      <c r="C441" s="6"/>
      <c r="D441" s="6"/>
      <c r="E441" s="6"/>
      <c r="F441" s="6"/>
      <c r="G441" s="6"/>
      <c r="H441" s="6"/>
      <c r="I441" s="6"/>
      <c r="J441" s="6"/>
      <c r="K441" s="6"/>
      <c r="L441" s="6"/>
      <c r="M441" s="6"/>
      <c r="N441" s="6"/>
      <c r="O441" s="6"/>
      <c r="P441" s="6"/>
      <c r="Q441" s="6"/>
      <c r="R441" s="6"/>
    </row>
    <row r="442" spans="2:18" x14ac:dyDescent="0.25">
      <c r="B442" s="6"/>
      <c r="C442" s="6"/>
      <c r="D442" s="6"/>
      <c r="E442" s="6"/>
      <c r="F442" s="6"/>
      <c r="G442" s="6"/>
      <c r="H442" s="6"/>
      <c r="I442" s="6"/>
      <c r="J442" s="6"/>
      <c r="K442" s="6"/>
      <c r="L442" s="6"/>
      <c r="M442" s="6"/>
      <c r="N442" s="6"/>
      <c r="O442" s="6"/>
      <c r="P442" s="6"/>
      <c r="Q442" s="6"/>
      <c r="R442" s="6"/>
    </row>
    <row r="443" spans="2:18" x14ac:dyDescent="0.25">
      <c r="B443" s="6"/>
      <c r="C443" s="6"/>
      <c r="D443" s="6"/>
      <c r="E443" s="6"/>
      <c r="F443" s="6"/>
      <c r="G443" s="6"/>
      <c r="H443" s="6"/>
      <c r="I443" s="6"/>
      <c r="J443" s="6"/>
      <c r="K443" s="6"/>
      <c r="L443" s="6"/>
      <c r="M443" s="6"/>
      <c r="N443" s="6"/>
      <c r="O443" s="6"/>
      <c r="P443" s="6"/>
      <c r="Q443" s="6"/>
      <c r="R443" s="6"/>
    </row>
    <row r="444" spans="2:18" x14ac:dyDescent="0.25">
      <c r="B444" s="6"/>
      <c r="C444" s="6"/>
      <c r="D444" s="6"/>
      <c r="E444" s="6"/>
      <c r="F444" s="6"/>
      <c r="G444" s="6"/>
      <c r="H444" s="6"/>
      <c r="I444" s="6"/>
      <c r="J444" s="6"/>
      <c r="K444" s="6"/>
      <c r="L444" s="6"/>
      <c r="M444" s="6"/>
      <c r="N444" s="6"/>
      <c r="O444" s="6"/>
      <c r="P444" s="6"/>
      <c r="Q444" s="6"/>
      <c r="R444" s="6"/>
    </row>
    <row r="445" spans="2:18" x14ac:dyDescent="0.25">
      <c r="B445" s="6"/>
      <c r="C445" s="6"/>
      <c r="D445" s="6"/>
      <c r="E445" s="6"/>
      <c r="F445" s="6"/>
      <c r="G445" s="6"/>
      <c r="H445" s="6"/>
      <c r="I445" s="6"/>
      <c r="J445" s="6"/>
      <c r="K445" s="6"/>
      <c r="L445" s="6"/>
      <c r="M445" s="6"/>
      <c r="N445" s="6"/>
      <c r="O445" s="6"/>
      <c r="P445" s="6"/>
      <c r="Q445" s="6"/>
      <c r="R445" s="6"/>
    </row>
    <row r="446" spans="2:18" x14ac:dyDescent="0.25">
      <c r="B446" s="6"/>
      <c r="C446" s="6"/>
      <c r="D446" s="6"/>
      <c r="E446" s="6"/>
      <c r="F446" s="6"/>
      <c r="G446" s="6"/>
      <c r="H446" s="6"/>
      <c r="I446" s="6"/>
      <c r="J446" s="6"/>
      <c r="K446" s="6"/>
      <c r="L446" s="6"/>
      <c r="M446" s="6"/>
      <c r="N446" s="6"/>
      <c r="O446" s="6"/>
      <c r="P446" s="6"/>
      <c r="Q446" s="6"/>
      <c r="R446" s="6"/>
    </row>
    <row r="447" spans="2:18" x14ac:dyDescent="0.25">
      <c r="B447" s="6"/>
      <c r="C447" s="6"/>
      <c r="D447" s="6"/>
      <c r="E447" s="6"/>
      <c r="F447" s="6"/>
      <c r="G447" s="6"/>
      <c r="H447" s="6"/>
      <c r="I447" s="6"/>
      <c r="J447" s="6"/>
      <c r="K447" s="6"/>
      <c r="L447" s="6"/>
      <c r="M447" s="6"/>
      <c r="N447" s="6"/>
      <c r="O447" s="6"/>
      <c r="P447" s="6"/>
      <c r="Q447" s="6"/>
      <c r="R447" s="6"/>
    </row>
    <row r="448" spans="2:18" x14ac:dyDescent="0.25">
      <c r="B448" s="6"/>
      <c r="C448" s="6"/>
      <c r="D448" s="6"/>
      <c r="E448" s="6"/>
      <c r="F448" s="6"/>
      <c r="G448" s="6"/>
      <c r="H448" s="6"/>
      <c r="I448" s="6"/>
      <c r="J448" s="6"/>
      <c r="K448" s="6"/>
      <c r="L448" s="6"/>
      <c r="M448" s="6"/>
      <c r="N448" s="6"/>
      <c r="O448" s="6"/>
      <c r="P448" s="6"/>
      <c r="Q448" s="6"/>
      <c r="R448" s="6"/>
    </row>
    <row r="449" spans="2:18" x14ac:dyDescent="0.25">
      <c r="B449" s="6"/>
      <c r="C449" s="6"/>
      <c r="D449" s="6"/>
      <c r="E449" s="6"/>
      <c r="F449" s="6"/>
      <c r="G449" s="6"/>
      <c r="H449" s="6"/>
      <c r="I449" s="6"/>
      <c r="J449" s="6"/>
      <c r="K449" s="6"/>
      <c r="L449" s="6"/>
      <c r="M449" s="6"/>
      <c r="N449" s="6"/>
      <c r="O449" s="6"/>
      <c r="P449" s="6"/>
      <c r="Q449" s="6"/>
      <c r="R449" s="6"/>
    </row>
    <row r="450" spans="2:18" x14ac:dyDescent="0.25">
      <c r="B450" s="6"/>
      <c r="C450" s="6"/>
      <c r="D450" s="6"/>
      <c r="E450" s="6"/>
      <c r="F450" s="6"/>
      <c r="G450" s="6"/>
      <c r="H450" s="6"/>
      <c r="I450" s="6"/>
      <c r="J450" s="6"/>
      <c r="K450" s="6"/>
      <c r="L450" s="6"/>
      <c r="M450" s="6"/>
      <c r="N450" s="6"/>
      <c r="O450" s="6"/>
      <c r="P450" s="6"/>
      <c r="Q450" s="6"/>
      <c r="R450" s="6"/>
    </row>
    <row r="451" spans="2:18" x14ac:dyDescent="0.25">
      <c r="B451" s="6"/>
      <c r="C451" s="6"/>
      <c r="D451" s="6"/>
      <c r="E451" s="6"/>
      <c r="F451" s="6"/>
      <c r="G451" s="6"/>
      <c r="H451" s="6"/>
      <c r="I451" s="6"/>
      <c r="J451" s="6"/>
      <c r="K451" s="6"/>
      <c r="L451" s="6"/>
      <c r="M451" s="6"/>
      <c r="N451" s="6"/>
      <c r="O451" s="6"/>
      <c r="P451" s="6"/>
      <c r="Q451" s="6"/>
      <c r="R451" s="6"/>
    </row>
    <row r="452" spans="2:18" x14ac:dyDescent="0.25">
      <c r="B452" s="6"/>
      <c r="C452" s="6"/>
      <c r="D452" s="6"/>
      <c r="E452" s="6"/>
      <c r="F452" s="6"/>
      <c r="G452" s="6"/>
      <c r="H452" s="6"/>
      <c r="I452" s="6"/>
      <c r="J452" s="6"/>
      <c r="K452" s="6"/>
      <c r="L452" s="6"/>
      <c r="M452" s="6"/>
      <c r="N452" s="6"/>
      <c r="O452" s="6"/>
      <c r="P452" s="6"/>
      <c r="Q452" s="6"/>
      <c r="R452" s="6"/>
    </row>
    <row r="453" spans="2:18" x14ac:dyDescent="0.25">
      <c r="B453" s="6"/>
      <c r="C453" s="6"/>
      <c r="D453" s="6"/>
      <c r="E453" s="6"/>
      <c r="F453" s="6"/>
      <c r="G453" s="6"/>
      <c r="H453" s="6"/>
      <c r="I453" s="6"/>
      <c r="J453" s="6"/>
      <c r="K453" s="6"/>
      <c r="L453" s="6"/>
      <c r="M453" s="6"/>
      <c r="N453" s="6"/>
      <c r="O453" s="6"/>
      <c r="P453" s="6"/>
      <c r="Q453" s="6"/>
      <c r="R453" s="6"/>
    </row>
    <row r="454" spans="2:18" x14ac:dyDescent="0.25">
      <c r="B454" s="6"/>
      <c r="C454" s="6"/>
      <c r="D454" s="6"/>
      <c r="E454" s="6"/>
      <c r="F454" s="6"/>
      <c r="G454" s="6"/>
      <c r="H454" s="6"/>
      <c r="I454" s="6"/>
      <c r="J454" s="6"/>
      <c r="K454" s="6"/>
      <c r="L454" s="6"/>
      <c r="M454" s="6"/>
      <c r="N454" s="6"/>
      <c r="O454" s="6"/>
      <c r="P454" s="6"/>
      <c r="Q454" s="6"/>
      <c r="R454" s="6"/>
    </row>
    <row r="455" spans="2:18" x14ac:dyDescent="0.25">
      <c r="B455" s="6"/>
      <c r="C455" s="6"/>
      <c r="D455" s="6"/>
      <c r="E455" s="6"/>
      <c r="F455" s="6"/>
      <c r="G455" s="6"/>
      <c r="H455" s="6"/>
      <c r="I455" s="6"/>
      <c r="J455" s="6"/>
      <c r="K455" s="6"/>
      <c r="L455" s="6"/>
      <c r="M455" s="6"/>
      <c r="N455" s="6"/>
      <c r="O455" s="6"/>
      <c r="P455" s="6"/>
      <c r="Q455" s="6"/>
      <c r="R455" s="6"/>
    </row>
    <row r="456" spans="2:18" x14ac:dyDescent="0.25">
      <c r="B456" s="6"/>
      <c r="C456" s="6"/>
      <c r="D456" s="6"/>
      <c r="E456" s="6"/>
      <c r="F456" s="6"/>
      <c r="G456" s="6"/>
      <c r="H456" s="6"/>
      <c r="I456" s="6"/>
      <c r="J456" s="6"/>
      <c r="K456" s="6"/>
      <c r="L456" s="6"/>
      <c r="M456" s="6"/>
      <c r="N456" s="6"/>
      <c r="O456" s="6"/>
      <c r="P456" s="6"/>
      <c r="Q456" s="6"/>
      <c r="R456" s="6"/>
    </row>
    <row r="457" spans="2:18" x14ac:dyDescent="0.25">
      <c r="B457" s="6"/>
      <c r="C457" s="6"/>
      <c r="D457" s="6"/>
      <c r="E457" s="6"/>
      <c r="F457" s="6"/>
      <c r="G457" s="6"/>
      <c r="H457" s="6"/>
      <c r="I457" s="6"/>
      <c r="J457" s="6"/>
      <c r="K457" s="6"/>
      <c r="L457" s="6"/>
      <c r="M457" s="6"/>
      <c r="N457" s="6"/>
      <c r="O457" s="6"/>
      <c r="P457" s="6"/>
      <c r="Q457" s="6"/>
      <c r="R457" s="6"/>
    </row>
    <row r="458" spans="2:18" x14ac:dyDescent="0.25">
      <c r="B458" s="6"/>
      <c r="C458" s="6"/>
      <c r="D458" s="6"/>
      <c r="E458" s="6"/>
      <c r="F458" s="6"/>
      <c r="G458" s="6"/>
      <c r="H458" s="6"/>
      <c r="I458" s="6"/>
      <c r="J458" s="6"/>
      <c r="K458" s="6"/>
      <c r="L458" s="6"/>
      <c r="M458" s="6"/>
      <c r="N458" s="6"/>
      <c r="O458" s="6"/>
      <c r="P458" s="6"/>
      <c r="Q458" s="6"/>
      <c r="R458" s="6"/>
    </row>
    <row r="459" spans="2:18" x14ac:dyDescent="0.25">
      <c r="B459" s="6"/>
      <c r="C459" s="6"/>
      <c r="D459" s="6"/>
      <c r="E459" s="6"/>
      <c r="F459" s="6"/>
      <c r="G459" s="6"/>
      <c r="H459" s="6"/>
      <c r="I459" s="6"/>
      <c r="J459" s="6"/>
      <c r="K459" s="6"/>
      <c r="L459" s="6"/>
      <c r="M459" s="6"/>
      <c r="N459" s="6"/>
      <c r="O459" s="6"/>
      <c r="P459" s="6"/>
      <c r="Q459" s="6"/>
      <c r="R459" s="6"/>
    </row>
    <row r="460" spans="2:18" x14ac:dyDescent="0.25">
      <c r="B460" s="6"/>
      <c r="C460" s="6"/>
      <c r="D460" s="6"/>
      <c r="E460" s="6"/>
      <c r="F460" s="6"/>
      <c r="G460" s="6"/>
      <c r="H460" s="6"/>
      <c r="I460" s="6"/>
      <c r="J460" s="6"/>
      <c r="K460" s="6"/>
      <c r="L460" s="6"/>
      <c r="M460" s="6"/>
      <c r="N460" s="6"/>
      <c r="O460" s="6"/>
      <c r="P460" s="6"/>
      <c r="Q460" s="6"/>
      <c r="R460" s="6"/>
    </row>
    <row r="461" spans="2:18" x14ac:dyDescent="0.25">
      <c r="B461" s="6"/>
      <c r="C461" s="6"/>
      <c r="D461" s="6"/>
      <c r="E461" s="6"/>
      <c r="F461" s="6"/>
      <c r="G461" s="6"/>
      <c r="H461" s="6"/>
    </row>
    <row r="462" spans="2:18" x14ac:dyDescent="0.25">
      <c r="B462" s="6"/>
      <c r="C462" s="6"/>
      <c r="D462" s="6"/>
      <c r="E462" s="6"/>
      <c r="F462" s="6"/>
      <c r="G462" s="6"/>
      <c r="H462" s="6"/>
    </row>
    <row r="463" spans="2:18" x14ac:dyDescent="0.25">
      <c r="B463" s="6"/>
      <c r="C463" s="6"/>
      <c r="D463" s="6"/>
      <c r="E463" s="6"/>
      <c r="F463" s="6"/>
      <c r="G463" s="6"/>
      <c r="H463" s="6"/>
    </row>
    <row r="464" spans="2:18" x14ac:dyDescent="0.25">
      <c r="B464" s="6"/>
      <c r="C464" s="6"/>
      <c r="D464" s="6"/>
      <c r="E464" s="6"/>
      <c r="F464" s="6"/>
      <c r="G464" s="6"/>
      <c r="H464" s="6"/>
    </row>
    <row r="465" spans="2:8" x14ac:dyDescent="0.25">
      <c r="B465" s="6"/>
      <c r="C465" s="6"/>
      <c r="D465" s="6"/>
      <c r="E465" s="6"/>
      <c r="F465" s="6"/>
      <c r="G465" s="6"/>
      <c r="H465" s="6"/>
    </row>
    <row r="466" spans="2:8" x14ac:dyDescent="0.25">
      <c r="B466" s="6"/>
      <c r="C466" s="6"/>
      <c r="D466" s="6"/>
      <c r="E466" s="6"/>
      <c r="F466" s="6"/>
      <c r="G466" s="6"/>
      <c r="H466" s="6"/>
    </row>
    <row r="467" spans="2:8" x14ac:dyDescent="0.25">
      <c r="B467" s="6"/>
      <c r="C467" s="6"/>
      <c r="D467" s="6"/>
      <c r="E467" s="6"/>
      <c r="F467" s="6"/>
      <c r="G467" s="6"/>
      <c r="H467" s="6"/>
    </row>
    <row r="468" spans="2:8" x14ac:dyDescent="0.25">
      <c r="B468" s="6"/>
      <c r="C468" s="6"/>
      <c r="D468" s="6"/>
      <c r="E468" s="6"/>
      <c r="F468" s="6"/>
      <c r="G468" s="6"/>
      <c r="H468" s="6"/>
    </row>
    <row r="469" spans="2:8" x14ac:dyDescent="0.25">
      <c r="B469" s="6"/>
      <c r="C469" s="6"/>
      <c r="D469" s="6"/>
      <c r="E469" s="6"/>
      <c r="F469" s="6"/>
      <c r="G469" s="6"/>
      <c r="H469" s="6"/>
    </row>
    <row r="470" spans="2:8" x14ac:dyDescent="0.25">
      <c r="B470" s="6"/>
      <c r="C470" s="6"/>
      <c r="D470" s="6"/>
      <c r="E470" s="6"/>
      <c r="F470" s="6"/>
      <c r="G470" s="6"/>
      <c r="H470" s="6"/>
    </row>
    <row r="471" spans="2:8" x14ac:dyDescent="0.25">
      <c r="B471" s="6"/>
      <c r="C471" s="6"/>
      <c r="D471" s="6"/>
      <c r="E471" s="6"/>
      <c r="F471" s="6"/>
      <c r="G471" s="6"/>
      <c r="H471" s="6"/>
    </row>
    <row r="472" spans="2:8" x14ac:dyDescent="0.25">
      <c r="B472" s="6"/>
      <c r="C472" s="6"/>
      <c r="D472" s="6"/>
      <c r="E472" s="6"/>
      <c r="F472" s="6"/>
      <c r="G472" s="6"/>
      <c r="H472" s="6"/>
    </row>
    <row r="473" spans="2:8" x14ac:dyDescent="0.25">
      <c r="B473" s="6"/>
      <c r="C473" s="6"/>
      <c r="D473" s="6"/>
      <c r="E473" s="6"/>
      <c r="F473" s="6"/>
      <c r="G473" s="6"/>
      <c r="H473" s="6"/>
    </row>
    <row r="474" spans="2:8" x14ac:dyDescent="0.25">
      <c r="B474" s="6"/>
      <c r="C474" s="6"/>
      <c r="D474" s="6"/>
      <c r="E474" s="6"/>
      <c r="F474" s="6"/>
      <c r="G474" s="6"/>
      <c r="H474" s="6"/>
    </row>
    <row r="475" spans="2:8" x14ac:dyDescent="0.25">
      <c r="B475" s="6"/>
      <c r="C475" s="6"/>
      <c r="D475" s="6"/>
      <c r="E475" s="6"/>
      <c r="F475" s="6"/>
      <c r="G475" s="6"/>
      <c r="H475" s="6"/>
    </row>
    <row r="476" spans="2:8" x14ac:dyDescent="0.25">
      <c r="B476" s="6"/>
      <c r="C476" s="6"/>
      <c r="D476" s="6"/>
      <c r="E476" s="6"/>
      <c r="F476" s="6"/>
      <c r="G476" s="6"/>
      <c r="H476" s="6"/>
    </row>
    <row r="477" spans="2:8" x14ac:dyDescent="0.25">
      <c r="B477" s="6"/>
      <c r="C477" s="6"/>
      <c r="D477" s="6"/>
      <c r="E477" s="6"/>
      <c r="F477" s="6"/>
      <c r="G477" s="6"/>
      <c r="H477" s="6"/>
    </row>
    <row r="478" spans="2:8" x14ac:dyDescent="0.25">
      <c r="B478" s="6"/>
      <c r="C478" s="6"/>
      <c r="D478" s="6"/>
      <c r="E478" s="6"/>
      <c r="F478" s="6"/>
      <c r="G478" s="6"/>
      <c r="H478" s="6"/>
    </row>
    <row r="479" spans="2:8" x14ac:dyDescent="0.25">
      <c r="B479" s="6"/>
      <c r="C479" s="6"/>
      <c r="D479" s="6"/>
      <c r="E479" s="6"/>
      <c r="F479" s="6"/>
      <c r="G479" s="6"/>
      <c r="H479" s="6"/>
    </row>
    <row r="480" spans="2:8" x14ac:dyDescent="0.25">
      <c r="B480" s="6"/>
      <c r="C480" s="6"/>
      <c r="D480" s="6"/>
      <c r="E480" s="6"/>
      <c r="F480" s="6"/>
      <c r="G480" s="6"/>
      <c r="H480" s="6"/>
    </row>
    <row r="481" spans="2:8" x14ac:dyDescent="0.25">
      <c r="B481" s="6"/>
      <c r="C481" s="6"/>
      <c r="D481" s="6"/>
      <c r="E481" s="6"/>
      <c r="F481" s="6"/>
      <c r="G481" s="6"/>
      <c r="H481" s="6"/>
    </row>
    <row r="482" spans="2:8" x14ac:dyDescent="0.25">
      <c r="B482" s="6"/>
      <c r="C482" s="6"/>
      <c r="D482" s="6"/>
      <c r="E482" s="6"/>
      <c r="F482" s="6"/>
      <c r="G482" s="6"/>
      <c r="H482" s="6"/>
    </row>
    <row r="483" spans="2:8" x14ac:dyDescent="0.25">
      <c r="B483" s="6"/>
      <c r="C483" s="6"/>
      <c r="D483" s="6"/>
      <c r="E483" s="6"/>
      <c r="F483" s="6"/>
      <c r="G483" s="6"/>
      <c r="H483" s="6"/>
    </row>
    <row r="484" spans="2:8" x14ac:dyDescent="0.25">
      <c r="B484" s="6"/>
      <c r="C484" s="6"/>
      <c r="D484" s="6"/>
      <c r="E484" s="6"/>
      <c r="F484" s="6"/>
      <c r="G484" s="6"/>
      <c r="H484" s="6"/>
    </row>
    <row r="485" spans="2:8" x14ac:dyDescent="0.25">
      <c r="B485" s="6"/>
      <c r="C485" s="6"/>
      <c r="D485" s="6"/>
      <c r="E485" s="6"/>
      <c r="F485" s="6"/>
      <c r="G485" s="6"/>
      <c r="H485" s="6"/>
    </row>
    <row r="486" spans="2:8" x14ac:dyDescent="0.25">
      <c r="B486" s="6"/>
      <c r="C486" s="6"/>
      <c r="D486" s="6"/>
      <c r="E486" s="6"/>
      <c r="F486" s="6"/>
      <c r="G486" s="6"/>
      <c r="H486" s="6"/>
    </row>
    <row r="487" spans="2:8" x14ac:dyDescent="0.25">
      <c r="B487" s="6"/>
      <c r="C487" s="6"/>
      <c r="D487" s="6"/>
      <c r="E487" s="6"/>
      <c r="F487" s="6"/>
      <c r="G487" s="6"/>
      <c r="H487" s="6"/>
    </row>
    <row r="488" spans="2:8" x14ac:dyDescent="0.25">
      <c r="B488" s="6"/>
      <c r="C488" s="6"/>
      <c r="D488" s="6"/>
      <c r="E488" s="6"/>
      <c r="F488" s="6"/>
      <c r="G488" s="6"/>
      <c r="H488" s="6"/>
    </row>
    <row r="489" spans="2:8" x14ac:dyDescent="0.25">
      <c r="B489" s="6"/>
      <c r="C489" s="6"/>
      <c r="D489" s="6"/>
      <c r="E489" s="6"/>
      <c r="F489" s="6"/>
      <c r="G489" s="6"/>
      <c r="H489" s="6"/>
    </row>
    <row r="490" spans="2:8" x14ac:dyDescent="0.25">
      <c r="B490" s="6"/>
      <c r="C490" s="6"/>
      <c r="D490" s="6"/>
      <c r="E490" s="6"/>
      <c r="F490" s="6"/>
      <c r="G490" s="6"/>
      <c r="H490" s="6"/>
    </row>
    <row r="491" spans="2:8" x14ac:dyDescent="0.25">
      <c r="B491" s="6"/>
      <c r="C491" s="6"/>
      <c r="D491" s="6"/>
      <c r="E491" s="6"/>
      <c r="F491" s="6"/>
      <c r="G491" s="6"/>
      <c r="H491" s="6"/>
    </row>
    <row r="492" spans="2:8" x14ac:dyDescent="0.25">
      <c r="B492" s="6"/>
      <c r="C492" s="6"/>
      <c r="D492" s="6"/>
      <c r="E492" s="6"/>
      <c r="F492" s="6"/>
      <c r="G492" s="6"/>
      <c r="H492" s="6"/>
    </row>
    <row r="493" spans="2:8" x14ac:dyDescent="0.25">
      <c r="B493" s="6"/>
      <c r="C493" s="6"/>
      <c r="D493" s="6"/>
      <c r="E493" s="6"/>
      <c r="F493" s="6"/>
      <c r="G493" s="6"/>
      <c r="H493" s="6"/>
    </row>
    <row r="494" spans="2:8" x14ac:dyDescent="0.25">
      <c r="B494" s="6"/>
      <c r="C494" s="6"/>
      <c r="D494" s="6"/>
      <c r="E494" s="6"/>
      <c r="F494" s="6"/>
      <c r="G494" s="6"/>
      <c r="H494" s="6"/>
    </row>
    <row r="495" spans="2:8" x14ac:dyDescent="0.25">
      <c r="B495" s="6"/>
      <c r="C495" s="6"/>
      <c r="D495" s="6"/>
      <c r="E495" s="6"/>
      <c r="F495" s="6"/>
      <c r="G495" s="6"/>
      <c r="H495" s="6"/>
    </row>
    <row r="496" spans="2:8" x14ac:dyDescent="0.25">
      <c r="B496" s="6"/>
      <c r="C496" s="6"/>
      <c r="D496" s="6"/>
      <c r="E496" s="6"/>
      <c r="F496" s="6"/>
      <c r="G496" s="6"/>
      <c r="H496" s="6"/>
    </row>
    <row r="497" spans="2:8" x14ac:dyDescent="0.25">
      <c r="B497" s="6"/>
      <c r="C497" s="6"/>
      <c r="D497" s="6"/>
      <c r="E497" s="6"/>
      <c r="F497" s="6"/>
      <c r="G497" s="6"/>
      <c r="H497" s="6"/>
    </row>
    <row r="498" spans="2:8" x14ac:dyDescent="0.25">
      <c r="B498" s="6"/>
      <c r="C498" s="6"/>
      <c r="D498" s="6"/>
      <c r="E498" s="6"/>
      <c r="F498" s="6"/>
      <c r="G498" s="6"/>
      <c r="H498" s="6"/>
    </row>
    <row r="499" spans="2:8" x14ac:dyDescent="0.25">
      <c r="B499" s="6"/>
      <c r="C499" s="6"/>
      <c r="D499" s="6"/>
      <c r="E499" s="6"/>
      <c r="F499" s="6"/>
      <c r="G499" s="6"/>
      <c r="H499" s="6"/>
    </row>
    <row r="500" spans="2:8" x14ac:dyDescent="0.25">
      <c r="B500" s="6"/>
      <c r="C500" s="6"/>
      <c r="D500" s="6"/>
      <c r="E500" s="6"/>
      <c r="F500" s="6"/>
      <c r="G500" s="6"/>
      <c r="H500" s="6"/>
    </row>
    <row r="501" spans="2:8" x14ac:dyDescent="0.25">
      <c r="B501" s="6"/>
      <c r="C501" s="6"/>
      <c r="D501" s="6"/>
      <c r="E501" s="6"/>
      <c r="F501" s="6"/>
      <c r="G501" s="6"/>
      <c r="H501" s="6"/>
    </row>
    <row r="502" spans="2:8" x14ac:dyDescent="0.25">
      <c r="B502" s="6"/>
      <c r="C502" s="6"/>
      <c r="D502" s="6"/>
      <c r="E502" s="6"/>
      <c r="F502" s="6"/>
      <c r="G502" s="6"/>
      <c r="H502" s="6"/>
    </row>
    <row r="503" spans="2:8" x14ac:dyDescent="0.25">
      <c r="B503" s="6"/>
      <c r="C503" s="6"/>
      <c r="D503" s="6"/>
      <c r="E503" s="6"/>
      <c r="F503" s="6"/>
      <c r="G503" s="6"/>
      <c r="H503" s="6"/>
    </row>
    <row r="504" spans="2:8" x14ac:dyDescent="0.25">
      <c r="B504" s="6"/>
      <c r="C504" s="6"/>
      <c r="D504" s="6"/>
      <c r="E504" s="6"/>
      <c r="F504" s="6"/>
      <c r="G504" s="6"/>
      <c r="H504" s="6"/>
    </row>
    <row r="505" spans="2:8" x14ac:dyDescent="0.25">
      <c r="B505" s="6"/>
      <c r="C505" s="6"/>
      <c r="D505" s="6"/>
      <c r="E505" s="6"/>
      <c r="F505" s="6"/>
      <c r="G505" s="6"/>
      <c r="H505" s="6"/>
    </row>
    <row r="506" spans="2:8" x14ac:dyDescent="0.25">
      <c r="B506" s="6"/>
      <c r="C506" s="6"/>
      <c r="D506" s="6"/>
      <c r="E506" s="6"/>
      <c r="F506" s="6"/>
      <c r="G506" s="6"/>
      <c r="H506" s="6"/>
    </row>
    <row r="507" spans="2:8" x14ac:dyDescent="0.25">
      <c r="B507" s="6"/>
      <c r="C507" s="6"/>
      <c r="D507" s="6"/>
      <c r="E507" s="6"/>
      <c r="F507" s="6"/>
      <c r="G507" s="6"/>
      <c r="H507" s="6"/>
    </row>
    <row r="508" spans="2:8" x14ac:dyDescent="0.25">
      <c r="B508" s="6"/>
      <c r="C508" s="6"/>
      <c r="D508" s="6"/>
      <c r="E508" s="6"/>
      <c r="F508" s="6"/>
      <c r="G508" s="6"/>
      <c r="H508" s="6"/>
    </row>
    <row r="509" spans="2:8" x14ac:dyDescent="0.25">
      <c r="B509" s="6"/>
      <c r="C509" s="6"/>
      <c r="D509" s="6"/>
      <c r="E509" s="6"/>
      <c r="F509" s="6"/>
      <c r="G509" s="6"/>
      <c r="H509" s="6"/>
    </row>
    <row r="510" spans="2:8" x14ac:dyDescent="0.25">
      <c r="B510" s="6"/>
      <c r="C510" s="6"/>
      <c r="D510" s="6"/>
      <c r="E510" s="6"/>
      <c r="F510" s="6"/>
      <c r="G510" s="6"/>
      <c r="H510" s="6"/>
    </row>
    <row r="511" spans="2:8" x14ac:dyDescent="0.25">
      <c r="B511" s="6"/>
      <c r="C511" s="6"/>
      <c r="D511" s="6"/>
      <c r="E511" s="6"/>
      <c r="F511" s="6"/>
      <c r="G511" s="6"/>
      <c r="H511" s="6"/>
    </row>
    <row r="512" spans="2:8" x14ac:dyDescent="0.25">
      <c r="B512" s="6"/>
      <c r="C512" s="6"/>
      <c r="D512" s="6"/>
      <c r="E512" s="6"/>
      <c r="F512" s="6"/>
      <c r="G512" s="6"/>
      <c r="H512" s="6"/>
    </row>
    <row r="513" spans="2:8" x14ac:dyDescent="0.25">
      <c r="B513" s="6"/>
      <c r="C513" s="6"/>
      <c r="D513" s="6"/>
      <c r="E513" s="6"/>
      <c r="F513" s="6"/>
      <c r="G513" s="6"/>
      <c r="H513" s="6"/>
    </row>
    <row r="514" spans="2:8" x14ac:dyDescent="0.25">
      <c r="B514" s="6"/>
      <c r="C514" s="6"/>
      <c r="D514" s="6"/>
      <c r="E514" s="6"/>
      <c r="F514" s="6"/>
      <c r="G514" s="6"/>
      <c r="H514" s="6"/>
    </row>
    <row r="515" spans="2:8" x14ac:dyDescent="0.25">
      <c r="B515" s="6"/>
      <c r="C515" s="6"/>
      <c r="D515" s="6"/>
      <c r="E515" s="6"/>
      <c r="F515" s="6"/>
      <c r="G515" s="6"/>
      <c r="H515" s="6"/>
    </row>
    <row r="516" spans="2:8" x14ac:dyDescent="0.25">
      <c r="B516" s="6"/>
      <c r="C516" s="6"/>
      <c r="D516" s="6"/>
      <c r="E516" s="6"/>
      <c r="F516" s="6"/>
      <c r="G516" s="6"/>
      <c r="H516" s="6"/>
    </row>
    <row r="517" spans="2:8" x14ac:dyDescent="0.25">
      <c r="B517" s="6"/>
      <c r="C517" s="6"/>
      <c r="D517" s="6"/>
      <c r="E517" s="6"/>
      <c r="F517" s="6"/>
      <c r="G517" s="6"/>
      <c r="H517" s="6"/>
    </row>
    <row r="518" spans="2:8" x14ac:dyDescent="0.25">
      <c r="B518" s="6"/>
      <c r="C518" s="6"/>
      <c r="D518" s="6"/>
      <c r="E518" s="6"/>
      <c r="F518" s="6"/>
      <c r="G518" s="6"/>
      <c r="H518" s="6"/>
    </row>
    <row r="519" spans="2:8" x14ac:dyDescent="0.25">
      <c r="B519" s="6"/>
      <c r="C519" s="6"/>
      <c r="D519" s="6"/>
      <c r="E519" s="6"/>
      <c r="F519" s="6"/>
      <c r="G519" s="6"/>
      <c r="H519" s="6"/>
    </row>
    <row r="520" spans="2:8" x14ac:dyDescent="0.25">
      <c r="B520" s="6"/>
      <c r="C520" s="6"/>
      <c r="D520" s="6"/>
      <c r="E520" s="6"/>
      <c r="F520" s="6"/>
      <c r="G520" s="6"/>
      <c r="H520" s="6"/>
    </row>
    <row r="521" spans="2:8" x14ac:dyDescent="0.25">
      <c r="B521" s="6"/>
      <c r="C521" s="6"/>
      <c r="D521" s="6"/>
      <c r="E521" s="6"/>
      <c r="F521" s="6"/>
      <c r="G521" s="6"/>
      <c r="H521" s="6"/>
    </row>
    <row r="522" spans="2:8" x14ac:dyDescent="0.25">
      <c r="B522" s="6"/>
      <c r="C522" s="6"/>
      <c r="D522" s="6"/>
      <c r="E522" s="6"/>
      <c r="F522" s="6"/>
      <c r="G522" s="6"/>
      <c r="H522" s="6"/>
    </row>
    <row r="523" spans="2:8" x14ac:dyDescent="0.25">
      <c r="B523" s="6"/>
      <c r="C523" s="6"/>
      <c r="D523" s="6"/>
      <c r="E523" s="6"/>
      <c r="F523" s="6"/>
      <c r="G523" s="6"/>
      <c r="H523" s="6"/>
    </row>
    <row r="524" spans="2:8" x14ac:dyDescent="0.25">
      <c r="B524" s="6"/>
      <c r="C524" s="6"/>
      <c r="D524" s="6"/>
      <c r="E524" s="6"/>
      <c r="F524" s="6"/>
      <c r="G524" s="6"/>
      <c r="H524" s="6"/>
    </row>
    <row r="525" spans="2:8" x14ac:dyDescent="0.25">
      <c r="B525" s="6"/>
      <c r="C525" s="6"/>
      <c r="D525" s="6"/>
      <c r="E525" s="6"/>
      <c r="F525" s="6"/>
      <c r="G525" s="6"/>
      <c r="H525" s="6"/>
    </row>
    <row r="526" spans="2:8" x14ac:dyDescent="0.25">
      <c r="B526" s="6"/>
      <c r="C526" s="6"/>
      <c r="D526" s="6"/>
      <c r="E526" s="6"/>
      <c r="F526" s="6"/>
      <c r="G526" s="6"/>
      <c r="H526" s="6"/>
    </row>
    <row r="527" spans="2:8" x14ac:dyDescent="0.25">
      <c r="B527" s="6"/>
      <c r="C527" s="6"/>
      <c r="D527" s="6"/>
      <c r="E527" s="6"/>
      <c r="F527" s="6"/>
      <c r="G527" s="6"/>
      <c r="H527" s="6"/>
    </row>
    <row r="528" spans="2:8" x14ac:dyDescent="0.25">
      <c r="B528" s="6"/>
      <c r="C528" s="6"/>
      <c r="D528" s="6"/>
      <c r="E528" s="6"/>
      <c r="F528" s="6"/>
      <c r="G528" s="6"/>
      <c r="H528" s="6"/>
    </row>
    <row r="529" spans="2:8" x14ac:dyDescent="0.25">
      <c r="B529" s="6"/>
      <c r="C529" s="6"/>
      <c r="D529" s="6"/>
      <c r="E529" s="6"/>
      <c r="F529" s="6"/>
      <c r="G529" s="6"/>
      <c r="H529" s="6"/>
    </row>
    <row r="530" spans="2:8" x14ac:dyDescent="0.25">
      <c r="B530" s="6"/>
      <c r="C530" s="6"/>
      <c r="D530" s="6"/>
      <c r="E530" s="6"/>
      <c r="F530" s="6"/>
      <c r="G530" s="6"/>
      <c r="H530" s="6"/>
    </row>
    <row r="531" spans="2:8" x14ac:dyDescent="0.25">
      <c r="B531" s="6"/>
      <c r="C531" s="6"/>
      <c r="D531" s="6"/>
      <c r="E531" s="6"/>
      <c r="F531" s="6"/>
      <c r="G531" s="6"/>
      <c r="H531" s="6"/>
    </row>
    <row r="532" spans="2:8" x14ac:dyDescent="0.25">
      <c r="B532" s="6"/>
      <c r="C532" s="6"/>
      <c r="D532" s="6"/>
      <c r="E532" s="6"/>
      <c r="F532" s="6"/>
      <c r="G532" s="6"/>
      <c r="H532" s="6"/>
    </row>
    <row r="533" spans="2:8" x14ac:dyDescent="0.25">
      <c r="B533" s="6"/>
      <c r="C533" s="6"/>
      <c r="D533" s="6"/>
      <c r="E533" s="6"/>
      <c r="F533" s="6"/>
      <c r="G533" s="6"/>
      <c r="H533" s="6"/>
    </row>
    <row r="534" spans="2:8" x14ac:dyDescent="0.25">
      <c r="B534" s="6"/>
      <c r="C534" s="6"/>
      <c r="D534" s="6"/>
      <c r="E534" s="6"/>
      <c r="F534" s="6"/>
      <c r="G534" s="6"/>
      <c r="H534" s="6"/>
    </row>
    <row r="535" spans="2:8" x14ac:dyDescent="0.25">
      <c r="B535" s="6"/>
      <c r="C535" s="6"/>
      <c r="D535" s="6"/>
      <c r="E535" s="6"/>
      <c r="F535" s="6"/>
      <c r="G535" s="6"/>
      <c r="H535" s="6"/>
    </row>
    <row r="536" spans="2:8" x14ac:dyDescent="0.25">
      <c r="B536" s="6"/>
      <c r="C536" s="6"/>
      <c r="D536" s="6"/>
      <c r="E536" s="6"/>
      <c r="F536" s="6"/>
      <c r="G536" s="6"/>
      <c r="H536" s="6"/>
    </row>
    <row r="537" spans="2:8" x14ac:dyDescent="0.25">
      <c r="B537" s="6"/>
      <c r="C537" s="6"/>
      <c r="D537" s="6"/>
      <c r="E537" s="6"/>
      <c r="F537" s="6"/>
      <c r="G537" s="6"/>
      <c r="H537" s="6"/>
    </row>
    <row r="538" spans="2:8" x14ac:dyDescent="0.25">
      <c r="B538" s="6"/>
      <c r="C538" s="6"/>
      <c r="D538" s="6"/>
      <c r="E538" s="6"/>
      <c r="F538" s="6"/>
      <c r="G538" s="6"/>
      <c r="H538" s="6"/>
    </row>
    <row r="539" spans="2:8" x14ac:dyDescent="0.25">
      <c r="B539" s="6"/>
      <c r="C539" s="6"/>
      <c r="D539" s="6"/>
      <c r="E539" s="6"/>
      <c r="F539" s="6"/>
      <c r="G539" s="6"/>
      <c r="H539" s="6"/>
    </row>
    <row r="540" spans="2:8" x14ac:dyDescent="0.25">
      <c r="B540" s="6"/>
      <c r="C540" s="6"/>
      <c r="D540" s="6"/>
      <c r="E540" s="6"/>
      <c r="F540" s="6"/>
      <c r="G540" s="6"/>
      <c r="H540" s="6"/>
    </row>
    <row r="541" spans="2:8" x14ac:dyDescent="0.25">
      <c r="B541" s="6"/>
      <c r="C541" s="6"/>
      <c r="D541" s="6"/>
      <c r="E541" s="6"/>
      <c r="F541" s="6"/>
      <c r="G541" s="6"/>
      <c r="H541" s="6"/>
    </row>
    <row r="542" spans="2:8" x14ac:dyDescent="0.25">
      <c r="B542" s="6"/>
      <c r="C542" s="6"/>
      <c r="D542" s="6"/>
      <c r="E542" s="6"/>
      <c r="F542" s="6"/>
      <c r="G542" s="6"/>
      <c r="H542" s="6"/>
    </row>
    <row r="543" spans="2:8" x14ac:dyDescent="0.25">
      <c r="B543" s="6"/>
      <c r="C543" s="6"/>
      <c r="D543" s="6"/>
      <c r="E543" s="6"/>
      <c r="F543" s="6"/>
      <c r="G543" s="6"/>
      <c r="H543" s="6"/>
    </row>
    <row r="544" spans="2:8" x14ac:dyDescent="0.25">
      <c r="B544" s="6"/>
      <c r="C544" s="6"/>
      <c r="D544" s="6"/>
      <c r="E544" s="6"/>
      <c r="F544" s="6"/>
      <c r="G544" s="6"/>
      <c r="H544" s="6"/>
    </row>
    <row r="545" spans="2:8" x14ac:dyDescent="0.25">
      <c r="B545" s="6"/>
      <c r="C545" s="6"/>
      <c r="D545" s="6"/>
      <c r="E545" s="6"/>
      <c r="F545" s="6"/>
      <c r="G545" s="6"/>
      <c r="H545" s="6"/>
    </row>
    <row r="546" spans="2:8" x14ac:dyDescent="0.25">
      <c r="B546" s="6"/>
      <c r="C546" s="6"/>
      <c r="D546" s="6"/>
      <c r="E546" s="6"/>
      <c r="F546" s="6"/>
      <c r="G546" s="6"/>
      <c r="H546" s="6"/>
    </row>
    <row r="547" spans="2:8" x14ac:dyDescent="0.25">
      <c r="B547" s="6"/>
      <c r="C547" s="6"/>
      <c r="D547" s="6"/>
      <c r="E547" s="6"/>
      <c r="F547" s="6"/>
      <c r="G547" s="6"/>
      <c r="H547" s="6"/>
    </row>
    <row r="548" spans="2:8" x14ac:dyDescent="0.25">
      <c r="B548" s="6"/>
      <c r="C548" s="6"/>
      <c r="D548" s="6"/>
      <c r="E548" s="6"/>
      <c r="F548" s="6"/>
      <c r="G548" s="6"/>
      <c r="H548" s="6"/>
    </row>
    <row r="549" spans="2:8" x14ac:dyDescent="0.25">
      <c r="B549" s="6"/>
      <c r="C549" s="6"/>
      <c r="D549" s="6"/>
      <c r="E549" s="6"/>
      <c r="F549" s="6"/>
      <c r="G549" s="6"/>
      <c r="H549" s="6"/>
    </row>
    <row r="550" spans="2:8" x14ac:dyDescent="0.25">
      <c r="B550" s="6"/>
      <c r="C550" s="6"/>
      <c r="D550" s="6"/>
      <c r="E550" s="6"/>
      <c r="F550" s="6"/>
      <c r="G550" s="6"/>
      <c r="H550" s="6"/>
    </row>
    <row r="551" spans="2:8" x14ac:dyDescent="0.25">
      <c r="B551" s="6"/>
      <c r="C551" s="6"/>
      <c r="D551" s="6"/>
      <c r="E551" s="6"/>
      <c r="F551" s="6"/>
      <c r="G551" s="6"/>
      <c r="H551" s="6"/>
    </row>
    <row r="552" spans="2:8" x14ac:dyDescent="0.25">
      <c r="B552" s="6"/>
      <c r="C552" s="6"/>
      <c r="D552" s="6"/>
      <c r="E552" s="6"/>
      <c r="F552" s="6"/>
      <c r="G552" s="6"/>
      <c r="H552" s="6"/>
    </row>
    <row r="553" spans="2:8" x14ac:dyDescent="0.25">
      <c r="B553" s="6"/>
      <c r="C553" s="6"/>
      <c r="D553" s="6"/>
      <c r="E553" s="6"/>
      <c r="F553" s="6"/>
      <c r="G553" s="6"/>
      <c r="H553" s="6"/>
    </row>
    <row r="554" spans="2:8" x14ac:dyDescent="0.25">
      <c r="B554" s="6"/>
      <c r="C554" s="6"/>
      <c r="D554" s="6"/>
      <c r="E554" s="6"/>
      <c r="F554" s="6"/>
      <c r="G554" s="6"/>
      <c r="H554" s="6"/>
    </row>
    <row r="555" spans="2:8" x14ac:dyDescent="0.25">
      <c r="B555" s="6"/>
      <c r="C555" s="6"/>
      <c r="D555" s="6"/>
      <c r="E555" s="6"/>
      <c r="F555" s="6"/>
      <c r="G555" s="6"/>
      <c r="H555" s="6"/>
    </row>
    <row r="556" spans="2:8" x14ac:dyDescent="0.25">
      <c r="B556" s="6"/>
      <c r="C556" s="6"/>
      <c r="D556" s="6"/>
      <c r="E556" s="6"/>
      <c r="F556" s="6"/>
      <c r="G556" s="6"/>
      <c r="H556" s="6"/>
    </row>
    <row r="557" spans="2:8" x14ac:dyDescent="0.25">
      <c r="B557" s="6"/>
      <c r="C557" s="6"/>
      <c r="D557" s="6"/>
      <c r="E557" s="6"/>
      <c r="F557" s="6"/>
      <c r="G557" s="6"/>
      <c r="H557" s="6"/>
    </row>
    <row r="558" spans="2:8" x14ac:dyDescent="0.25">
      <c r="B558" s="6"/>
      <c r="C558" s="6"/>
      <c r="D558" s="6"/>
      <c r="E558" s="6"/>
      <c r="F558" s="6"/>
      <c r="G558" s="6"/>
      <c r="H558" s="6"/>
    </row>
    <row r="559" spans="2:8" x14ac:dyDescent="0.25">
      <c r="B559" s="6"/>
      <c r="C559" s="6"/>
      <c r="D559" s="6"/>
      <c r="E559" s="6"/>
      <c r="F559" s="6"/>
      <c r="G559" s="6"/>
      <c r="H559" s="6"/>
    </row>
    <row r="560" spans="2:8" x14ac:dyDescent="0.25">
      <c r="B560" s="6"/>
      <c r="C560" s="6"/>
      <c r="D560" s="6"/>
      <c r="E560" s="6"/>
      <c r="F560" s="6"/>
      <c r="G560" s="6"/>
      <c r="H560" s="6"/>
    </row>
    <row r="561" spans="2:8" x14ac:dyDescent="0.25">
      <c r="B561" s="6"/>
      <c r="C561" s="6"/>
      <c r="D561" s="6"/>
      <c r="E561" s="6"/>
      <c r="F561" s="6"/>
      <c r="G561" s="6"/>
      <c r="H561" s="6"/>
    </row>
    <row r="562" spans="2:8" x14ac:dyDescent="0.25">
      <c r="B562" s="6"/>
      <c r="C562" s="6"/>
      <c r="D562" s="6"/>
      <c r="E562" s="6"/>
      <c r="F562" s="6"/>
      <c r="G562" s="6"/>
      <c r="H562" s="6"/>
    </row>
    <row r="563" spans="2:8" x14ac:dyDescent="0.25">
      <c r="B563" s="6"/>
      <c r="C563" s="6"/>
      <c r="D563" s="6"/>
      <c r="E563" s="6"/>
      <c r="F563" s="6"/>
      <c r="G563" s="6"/>
      <c r="H563" s="6"/>
    </row>
    <row r="564" spans="2:8" x14ac:dyDescent="0.25">
      <c r="B564" s="6"/>
      <c r="C564" s="6"/>
      <c r="D564" s="6"/>
      <c r="E564" s="6"/>
      <c r="F564" s="6"/>
      <c r="G564" s="6"/>
      <c r="H564" s="6"/>
    </row>
    <row r="565" spans="2:8" x14ac:dyDescent="0.25">
      <c r="B565" s="6"/>
      <c r="C565" s="6"/>
      <c r="D565" s="6"/>
      <c r="E565" s="6"/>
      <c r="F565" s="6"/>
      <c r="G565" s="6"/>
      <c r="H565" s="6"/>
    </row>
    <row r="566" spans="2:8" x14ac:dyDescent="0.25">
      <c r="B566" s="6"/>
      <c r="C566" s="6"/>
      <c r="D566" s="6"/>
      <c r="E566" s="6"/>
      <c r="F566" s="6"/>
      <c r="G566" s="6"/>
      <c r="H566" s="6"/>
    </row>
    <row r="567" spans="2:8" x14ac:dyDescent="0.25">
      <c r="B567" s="6"/>
      <c r="C567" s="6"/>
      <c r="D567" s="6"/>
      <c r="E567" s="6"/>
      <c r="F567" s="6"/>
      <c r="G567" s="6"/>
      <c r="H567" s="6"/>
    </row>
    <row r="568" spans="2:8" x14ac:dyDescent="0.25">
      <c r="B568" s="6"/>
      <c r="C568" s="6"/>
      <c r="D568" s="6"/>
      <c r="E568" s="6"/>
      <c r="F568" s="6"/>
      <c r="G568" s="6"/>
      <c r="H568" s="6"/>
    </row>
    <row r="569" spans="2:8" x14ac:dyDescent="0.25">
      <c r="B569" s="6"/>
      <c r="C569" s="6"/>
      <c r="D569" s="6"/>
      <c r="E569" s="6"/>
      <c r="F569" s="6"/>
      <c r="G569" s="6"/>
      <c r="H569" s="6"/>
    </row>
    <row r="570" spans="2:8" x14ac:dyDescent="0.25">
      <c r="B570" s="6"/>
      <c r="C570" s="6"/>
      <c r="D570" s="6"/>
      <c r="E570" s="6"/>
      <c r="F570" s="6"/>
      <c r="G570" s="6"/>
      <c r="H570" s="6"/>
    </row>
    <row r="571" spans="2:8" x14ac:dyDescent="0.25">
      <c r="B571" s="6"/>
      <c r="C571" s="6"/>
      <c r="D571" s="6"/>
      <c r="E571" s="6"/>
      <c r="F571" s="6"/>
      <c r="G571" s="6"/>
      <c r="H571" s="6"/>
    </row>
    <row r="572" spans="2:8" x14ac:dyDescent="0.25">
      <c r="B572" s="6"/>
      <c r="C572" s="6"/>
      <c r="D572" s="6"/>
      <c r="E572" s="6"/>
      <c r="F572" s="6"/>
      <c r="G572" s="6"/>
      <c r="H572" s="6"/>
    </row>
    <row r="573" spans="2:8" x14ac:dyDescent="0.25">
      <c r="B573" s="6"/>
      <c r="C573" s="6"/>
      <c r="D573" s="6"/>
      <c r="E573" s="6"/>
      <c r="F573" s="6"/>
      <c r="G573" s="6"/>
      <c r="H573" s="6"/>
    </row>
    <row r="574" spans="2:8" x14ac:dyDescent="0.25">
      <c r="B574" s="6"/>
      <c r="C574" s="6"/>
      <c r="D574" s="6"/>
      <c r="E574" s="6"/>
      <c r="F574" s="6"/>
      <c r="G574" s="6"/>
      <c r="H574" s="6"/>
    </row>
    <row r="575" spans="2:8" x14ac:dyDescent="0.25">
      <c r="B575" s="6"/>
      <c r="C575" s="6"/>
      <c r="D575" s="6"/>
      <c r="E575" s="6"/>
      <c r="F575" s="6"/>
      <c r="G575" s="6"/>
      <c r="H575" s="6"/>
    </row>
    <row r="576" spans="2:8" x14ac:dyDescent="0.25">
      <c r="B576" s="6"/>
      <c r="C576" s="6"/>
      <c r="D576" s="6"/>
      <c r="E576" s="6"/>
      <c r="F576" s="6"/>
      <c r="G576" s="6"/>
      <c r="H576" s="6"/>
    </row>
    <row r="577" spans="2:8" x14ac:dyDescent="0.25">
      <c r="B577" s="6"/>
      <c r="C577" s="6"/>
      <c r="D577" s="6"/>
      <c r="E577" s="6"/>
      <c r="F577" s="6"/>
      <c r="G577" s="6"/>
      <c r="H577" s="6"/>
    </row>
    <row r="578" spans="2:8" x14ac:dyDescent="0.25">
      <c r="B578" s="6"/>
      <c r="C578" s="6"/>
      <c r="D578" s="6"/>
      <c r="E578" s="6"/>
      <c r="F578" s="6"/>
      <c r="G578" s="6"/>
      <c r="H578" s="6"/>
    </row>
    <row r="579" spans="2:8" x14ac:dyDescent="0.25">
      <c r="B579" s="6"/>
      <c r="C579" s="6"/>
      <c r="D579" s="6"/>
      <c r="E579" s="6"/>
      <c r="F579" s="6"/>
      <c r="G579" s="6"/>
      <c r="H579" s="6"/>
    </row>
    <row r="580" spans="2:8" x14ac:dyDescent="0.25">
      <c r="B580" s="6"/>
      <c r="C580" s="6"/>
      <c r="D580" s="6"/>
      <c r="E580" s="6"/>
      <c r="F580" s="6"/>
      <c r="G580" s="6"/>
      <c r="H580" s="6"/>
    </row>
    <row r="581" spans="2:8" x14ac:dyDescent="0.25">
      <c r="B581" s="6"/>
      <c r="C581" s="6"/>
      <c r="D581" s="6"/>
      <c r="E581" s="6"/>
      <c r="F581" s="6"/>
      <c r="G581" s="6"/>
      <c r="H581" s="6"/>
    </row>
    <row r="582" spans="2:8" x14ac:dyDescent="0.25">
      <c r="B582" s="6"/>
      <c r="C582" s="6"/>
      <c r="D582" s="6"/>
      <c r="E582" s="6"/>
      <c r="F582" s="6"/>
      <c r="G582" s="6"/>
      <c r="H582" s="6"/>
    </row>
    <row r="583" spans="2:8" x14ac:dyDescent="0.25">
      <c r="B583" s="6"/>
      <c r="C583" s="6"/>
      <c r="D583" s="6"/>
      <c r="E583" s="6"/>
      <c r="F583" s="6"/>
      <c r="G583" s="6"/>
      <c r="H583" s="6"/>
    </row>
    <row r="584" spans="2:8" x14ac:dyDescent="0.25">
      <c r="B584" s="6"/>
      <c r="C584" s="6"/>
      <c r="D584" s="6"/>
      <c r="E584" s="6"/>
      <c r="F584" s="6"/>
      <c r="G584" s="6"/>
      <c r="H584" s="6"/>
    </row>
    <row r="585" spans="2:8" x14ac:dyDescent="0.25">
      <c r="B585" s="6"/>
      <c r="C585" s="6"/>
      <c r="D585" s="6"/>
      <c r="E585" s="6"/>
      <c r="F585" s="6"/>
      <c r="G585" s="6"/>
      <c r="H585" s="6"/>
    </row>
    <row r="586" spans="2:8" x14ac:dyDescent="0.25">
      <c r="B586" s="6"/>
      <c r="C586" s="6"/>
      <c r="D586" s="6"/>
      <c r="E586" s="6"/>
      <c r="F586" s="6"/>
      <c r="G586" s="6"/>
      <c r="H586" s="6"/>
    </row>
    <row r="587" spans="2:8" x14ac:dyDescent="0.25">
      <c r="B587" s="6"/>
      <c r="C587" s="6"/>
      <c r="D587" s="6"/>
      <c r="E587" s="6"/>
      <c r="F587" s="6"/>
      <c r="G587" s="6"/>
      <c r="H587" s="6"/>
    </row>
    <row r="588" spans="2:8" x14ac:dyDescent="0.25">
      <c r="B588" s="6"/>
      <c r="C588" s="6"/>
      <c r="D588" s="6"/>
      <c r="E588" s="6"/>
      <c r="F588" s="6"/>
      <c r="G588" s="6"/>
      <c r="H588" s="6"/>
    </row>
    <row r="589" spans="2:8" x14ac:dyDescent="0.25">
      <c r="B589" s="6"/>
      <c r="C589" s="6"/>
      <c r="D589" s="6"/>
      <c r="E589" s="6"/>
      <c r="F589" s="6"/>
      <c r="G589" s="6"/>
      <c r="H589" s="6"/>
    </row>
    <row r="590" spans="2:8" x14ac:dyDescent="0.25">
      <c r="B590" s="6"/>
      <c r="C590" s="6"/>
      <c r="D590" s="6"/>
      <c r="E590" s="6"/>
      <c r="F590" s="6"/>
      <c r="G590" s="6"/>
      <c r="H590" s="6"/>
    </row>
    <row r="591" spans="2:8" x14ac:dyDescent="0.25">
      <c r="B591" s="6"/>
      <c r="C591" s="6"/>
      <c r="D591" s="6"/>
      <c r="E591" s="6"/>
      <c r="F591" s="6"/>
      <c r="G591" s="6"/>
      <c r="H591" s="6"/>
    </row>
    <row r="592" spans="2:8" x14ac:dyDescent="0.25">
      <c r="B592" s="6"/>
      <c r="C592" s="6"/>
      <c r="D592" s="6"/>
      <c r="E592" s="6"/>
      <c r="F592" s="6"/>
      <c r="G592" s="6"/>
      <c r="H592" s="6"/>
    </row>
    <row r="593" spans="2:8" x14ac:dyDescent="0.25">
      <c r="B593" s="6"/>
      <c r="C593" s="6"/>
      <c r="D593" s="6"/>
      <c r="E593" s="6"/>
      <c r="F593" s="6"/>
      <c r="G593" s="6"/>
      <c r="H593" s="6"/>
    </row>
    <row r="594" spans="2:8" x14ac:dyDescent="0.25">
      <c r="B594" s="6"/>
      <c r="C594" s="6"/>
      <c r="D594" s="6"/>
      <c r="E594" s="6"/>
      <c r="F594" s="6"/>
      <c r="G594" s="6"/>
      <c r="H594" s="6"/>
    </row>
    <row r="595" spans="2:8" x14ac:dyDescent="0.25">
      <c r="B595" s="6"/>
      <c r="C595" s="6"/>
      <c r="D595" s="6"/>
      <c r="E595" s="6"/>
      <c r="F595" s="6"/>
      <c r="G595" s="6"/>
      <c r="H595" s="6"/>
    </row>
    <row r="596" spans="2:8" x14ac:dyDescent="0.25">
      <c r="B596" s="6"/>
      <c r="C596" s="6"/>
      <c r="D596" s="6"/>
      <c r="E596" s="6"/>
      <c r="F596" s="6"/>
      <c r="G596" s="6"/>
      <c r="H596" s="6"/>
    </row>
    <row r="597" spans="2:8" x14ac:dyDescent="0.25">
      <c r="B597" s="6"/>
      <c r="C597" s="6"/>
      <c r="D597" s="6"/>
      <c r="E597" s="6"/>
      <c r="F597" s="6"/>
      <c r="G597" s="6"/>
      <c r="H597" s="6"/>
    </row>
    <row r="598" spans="2:8" x14ac:dyDescent="0.25">
      <c r="B598" s="6"/>
      <c r="C598" s="6"/>
      <c r="D598" s="6"/>
      <c r="E598" s="6"/>
      <c r="F598" s="6"/>
      <c r="G598" s="6"/>
      <c r="H598" s="6"/>
    </row>
    <row r="599" spans="2:8" x14ac:dyDescent="0.25">
      <c r="B599" s="6"/>
      <c r="C599" s="6"/>
      <c r="D599" s="6"/>
      <c r="E599" s="6"/>
      <c r="F599" s="6"/>
      <c r="G599" s="6"/>
      <c r="H599" s="6"/>
    </row>
    <row r="600" spans="2:8" x14ac:dyDescent="0.25">
      <c r="B600" s="6"/>
      <c r="C600" s="6"/>
      <c r="D600" s="6"/>
      <c r="E600" s="6"/>
      <c r="F600" s="6"/>
      <c r="G600" s="6"/>
      <c r="H600" s="6"/>
    </row>
    <row r="601" spans="2:8" x14ac:dyDescent="0.25">
      <c r="B601" s="6"/>
      <c r="C601" s="6"/>
      <c r="D601" s="6"/>
      <c r="E601" s="6"/>
      <c r="F601" s="6"/>
      <c r="G601" s="6"/>
      <c r="H601" s="6"/>
    </row>
    <row r="602" spans="2:8" x14ac:dyDescent="0.25">
      <c r="B602" s="6"/>
      <c r="C602" s="6"/>
      <c r="D602" s="6"/>
      <c r="E602" s="6"/>
      <c r="F602" s="6"/>
      <c r="G602" s="6"/>
      <c r="H602" s="6"/>
    </row>
    <row r="603" spans="2:8" x14ac:dyDescent="0.25">
      <c r="B603" s="6"/>
      <c r="C603" s="6"/>
      <c r="D603" s="6"/>
      <c r="E603" s="6"/>
      <c r="F603" s="6"/>
      <c r="G603" s="6"/>
      <c r="H603" s="6"/>
    </row>
    <row r="604" spans="2:8" x14ac:dyDescent="0.25">
      <c r="B604" s="6"/>
      <c r="C604" s="6"/>
      <c r="D604" s="6"/>
      <c r="E604" s="6"/>
      <c r="F604" s="6"/>
      <c r="G604" s="6"/>
      <c r="H604" s="6"/>
    </row>
    <row r="605" spans="2:8" x14ac:dyDescent="0.25">
      <c r="B605" s="6"/>
      <c r="C605" s="6"/>
      <c r="D605" s="6"/>
      <c r="E605" s="6"/>
      <c r="F605" s="6"/>
      <c r="G605" s="6"/>
      <c r="H605" s="6"/>
    </row>
    <row r="606" spans="2:8" x14ac:dyDescent="0.25">
      <c r="B606" s="6"/>
      <c r="C606" s="6"/>
      <c r="D606" s="6"/>
      <c r="E606" s="6"/>
      <c r="F606" s="6"/>
      <c r="G606" s="6"/>
      <c r="H606" s="6"/>
    </row>
    <row r="607" spans="2:8" x14ac:dyDescent="0.25">
      <c r="B607" s="6"/>
      <c r="C607" s="6"/>
      <c r="D607" s="6"/>
      <c r="E607" s="6"/>
      <c r="F607" s="6"/>
      <c r="G607" s="6"/>
      <c r="H607" s="6"/>
    </row>
    <row r="608" spans="2:8" x14ac:dyDescent="0.25">
      <c r="B608" s="6"/>
      <c r="C608" s="6"/>
      <c r="D608" s="6"/>
      <c r="E608" s="6"/>
      <c r="F608" s="6"/>
      <c r="G608" s="6"/>
      <c r="H608" s="6"/>
    </row>
    <row r="609" spans="2:8" x14ac:dyDescent="0.25">
      <c r="B609" s="6"/>
      <c r="C609" s="6"/>
      <c r="D609" s="6"/>
      <c r="E609" s="6"/>
      <c r="F609" s="6"/>
      <c r="G609" s="6"/>
      <c r="H609" s="6"/>
    </row>
    <row r="610" spans="2:8" x14ac:dyDescent="0.25">
      <c r="B610" s="6"/>
      <c r="C610" s="6"/>
      <c r="D610" s="6"/>
      <c r="E610" s="6"/>
      <c r="F610" s="6"/>
      <c r="G610" s="6"/>
      <c r="H610" s="6"/>
    </row>
    <row r="611" spans="2:8" x14ac:dyDescent="0.25">
      <c r="B611" s="6"/>
      <c r="C611" s="6"/>
      <c r="D611" s="6"/>
      <c r="E611" s="6"/>
      <c r="F611" s="6"/>
      <c r="G611" s="6"/>
      <c r="H611" s="6"/>
    </row>
    <row r="612" spans="2:8" x14ac:dyDescent="0.25">
      <c r="B612" s="6"/>
      <c r="C612" s="6"/>
      <c r="D612" s="6"/>
      <c r="E612" s="6"/>
      <c r="F612" s="6"/>
      <c r="G612" s="6"/>
      <c r="H612" s="6"/>
    </row>
    <row r="613" spans="2:8" x14ac:dyDescent="0.25">
      <c r="B613" s="6"/>
      <c r="C613" s="6"/>
      <c r="D613" s="6"/>
      <c r="E613" s="6"/>
      <c r="F613" s="6"/>
      <c r="G613" s="6"/>
      <c r="H613" s="6"/>
    </row>
    <row r="614" spans="2:8" x14ac:dyDescent="0.25">
      <c r="B614" s="6"/>
      <c r="C614" s="6"/>
      <c r="D614" s="6"/>
      <c r="E614" s="6"/>
      <c r="F614" s="6"/>
      <c r="G614" s="6"/>
      <c r="H614" s="6"/>
    </row>
    <row r="615" spans="2:8" x14ac:dyDescent="0.25">
      <c r="B615" s="6"/>
      <c r="C615" s="6"/>
      <c r="D615" s="6"/>
      <c r="E615" s="6"/>
      <c r="F615" s="6"/>
      <c r="G615" s="6"/>
      <c r="H615" s="6"/>
    </row>
    <row r="616" spans="2:8" x14ac:dyDescent="0.25">
      <c r="B616" s="6"/>
      <c r="C616" s="6"/>
      <c r="D616" s="6"/>
      <c r="E616" s="6"/>
      <c r="F616" s="6"/>
      <c r="G616" s="6"/>
      <c r="H616" s="6"/>
    </row>
    <row r="617" spans="2:8" x14ac:dyDescent="0.25">
      <c r="B617" s="6"/>
      <c r="C617" s="6"/>
      <c r="D617" s="6"/>
      <c r="E617" s="6"/>
      <c r="F617" s="6"/>
      <c r="G617" s="6"/>
      <c r="H617" s="6"/>
    </row>
    <row r="618" spans="2:8" x14ac:dyDescent="0.25">
      <c r="B618" s="6"/>
      <c r="C618" s="6"/>
      <c r="D618" s="6"/>
      <c r="E618" s="6"/>
      <c r="F618" s="6"/>
      <c r="G618" s="6"/>
      <c r="H618" s="6"/>
    </row>
    <row r="619" spans="2:8" x14ac:dyDescent="0.25">
      <c r="B619" s="6"/>
      <c r="C619" s="6"/>
      <c r="D619" s="6"/>
      <c r="E619" s="6"/>
      <c r="F619" s="6"/>
      <c r="G619" s="6"/>
      <c r="H619" s="6"/>
    </row>
    <row r="620" spans="2:8" x14ac:dyDescent="0.25">
      <c r="B620" s="6"/>
      <c r="C620" s="6"/>
      <c r="D620" s="6"/>
      <c r="E620" s="6"/>
      <c r="F620" s="6"/>
      <c r="G620" s="6"/>
      <c r="H620" s="6"/>
    </row>
    <row r="621" spans="2:8" x14ac:dyDescent="0.25">
      <c r="B621" s="6"/>
      <c r="C621" s="6"/>
      <c r="D621" s="6"/>
      <c r="E621" s="6"/>
      <c r="F621" s="6"/>
      <c r="G621" s="6"/>
      <c r="H621" s="6"/>
    </row>
    <row r="622" spans="2:8" x14ac:dyDescent="0.25">
      <c r="B622" s="6"/>
      <c r="C622" s="6"/>
      <c r="D622" s="6"/>
      <c r="E622" s="6"/>
      <c r="F622" s="6"/>
      <c r="G622" s="6"/>
      <c r="H622" s="6"/>
    </row>
    <row r="623" spans="2:8" x14ac:dyDescent="0.25">
      <c r="B623" s="6"/>
      <c r="C623" s="6"/>
      <c r="D623" s="6"/>
      <c r="E623" s="6"/>
      <c r="F623" s="6"/>
      <c r="G623" s="6"/>
      <c r="H623" s="6"/>
    </row>
    <row r="624" spans="2:8" x14ac:dyDescent="0.25">
      <c r="B624" s="6"/>
      <c r="C624" s="6"/>
      <c r="D624" s="6"/>
      <c r="E624" s="6"/>
      <c r="F624" s="6"/>
      <c r="G624" s="6"/>
      <c r="H624" s="6"/>
    </row>
    <row r="625" spans="2:8" x14ac:dyDescent="0.25">
      <c r="B625" s="6"/>
      <c r="C625" s="6"/>
      <c r="D625" s="6"/>
      <c r="E625" s="6"/>
      <c r="F625" s="6"/>
      <c r="G625" s="6"/>
      <c r="H625" s="6"/>
    </row>
    <row r="626" spans="2:8" x14ac:dyDescent="0.25">
      <c r="B626" s="6"/>
      <c r="C626" s="6"/>
      <c r="D626" s="6"/>
      <c r="E626" s="6"/>
      <c r="F626" s="6"/>
      <c r="G626" s="6"/>
      <c r="H626" s="6"/>
    </row>
    <row r="627" spans="2:8" x14ac:dyDescent="0.25">
      <c r="B627" s="6"/>
      <c r="C627" s="6"/>
      <c r="D627" s="6"/>
      <c r="E627" s="6"/>
      <c r="F627" s="6"/>
      <c r="G627" s="6"/>
      <c r="H627" s="6"/>
    </row>
    <row r="628" spans="2:8" x14ac:dyDescent="0.25">
      <c r="B628" s="6"/>
      <c r="C628" s="6"/>
      <c r="D628" s="6"/>
      <c r="E628" s="6"/>
      <c r="F628" s="6"/>
      <c r="G628" s="6"/>
      <c r="H628" s="6"/>
    </row>
    <row r="629" spans="2:8" x14ac:dyDescent="0.25">
      <c r="B629" s="6"/>
      <c r="C629" s="6"/>
      <c r="D629" s="6"/>
      <c r="E629" s="6"/>
      <c r="F629" s="6"/>
      <c r="G629" s="6"/>
      <c r="H629" s="6"/>
    </row>
    <row r="630" spans="2:8" x14ac:dyDescent="0.25">
      <c r="B630" s="6"/>
      <c r="C630" s="6"/>
      <c r="D630" s="6"/>
      <c r="E630" s="6"/>
      <c r="F630" s="6"/>
      <c r="G630" s="6"/>
      <c r="H630" s="6"/>
    </row>
    <row r="631" spans="2:8" x14ac:dyDescent="0.25">
      <c r="B631" s="6"/>
      <c r="C631" s="6"/>
      <c r="D631" s="6"/>
      <c r="E631" s="6"/>
      <c r="F631" s="6"/>
      <c r="G631" s="6"/>
      <c r="H631" s="6"/>
    </row>
    <row r="632" spans="2:8" x14ac:dyDescent="0.25">
      <c r="B632" s="6"/>
      <c r="C632" s="6"/>
      <c r="D632" s="6"/>
      <c r="E632" s="6"/>
      <c r="F632" s="6"/>
      <c r="G632" s="6"/>
      <c r="H632" s="6"/>
    </row>
    <row r="633" spans="2:8" x14ac:dyDescent="0.25">
      <c r="B633" s="6"/>
      <c r="C633" s="6"/>
      <c r="D633" s="6"/>
      <c r="E633" s="6"/>
      <c r="F633" s="6"/>
      <c r="G633" s="6"/>
      <c r="H633" s="6"/>
    </row>
    <row r="634" spans="2:8" x14ac:dyDescent="0.25">
      <c r="B634" s="6"/>
      <c r="C634" s="6"/>
      <c r="D634" s="6"/>
      <c r="E634" s="6"/>
      <c r="F634" s="6"/>
      <c r="G634" s="6"/>
      <c r="H634" s="6"/>
    </row>
    <row r="635" spans="2:8" x14ac:dyDescent="0.25">
      <c r="B635" s="6"/>
      <c r="C635" s="6"/>
      <c r="D635" s="6"/>
      <c r="E635" s="6"/>
      <c r="F635" s="6"/>
      <c r="G635" s="6"/>
      <c r="H635" s="6"/>
    </row>
    <row r="636" spans="2:8" x14ac:dyDescent="0.25">
      <c r="B636" s="6"/>
      <c r="C636" s="6"/>
      <c r="D636" s="6"/>
      <c r="E636" s="6"/>
      <c r="F636" s="6"/>
      <c r="G636" s="6"/>
      <c r="H636" s="6"/>
    </row>
    <row r="637" spans="2:8" x14ac:dyDescent="0.25">
      <c r="B637" s="6"/>
      <c r="C637" s="6"/>
      <c r="D637" s="6"/>
      <c r="E637" s="6"/>
      <c r="F637" s="6"/>
      <c r="G637" s="6"/>
      <c r="H637" s="6"/>
    </row>
    <row r="638" spans="2:8" x14ac:dyDescent="0.25">
      <c r="B638" s="6"/>
      <c r="C638" s="6"/>
      <c r="D638" s="6"/>
      <c r="E638" s="6"/>
      <c r="F638" s="6"/>
      <c r="G638" s="6"/>
      <c r="H638" s="6"/>
    </row>
    <row r="639" spans="2:8" x14ac:dyDescent="0.25">
      <c r="B639" s="6"/>
      <c r="C639" s="6"/>
      <c r="D639" s="6"/>
      <c r="E639" s="6"/>
      <c r="F639" s="6"/>
      <c r="G639" s="6"/>
      <c r="H639" s="6"/>
    </row>
    <row r="640" spans="2:8" x14ac:dyDescent="0.25">
      <c r="B640" s="6"/>
      <c r="C640" s="6"/>
      <c r="D640" s="6"/>
      <c r="E640" s="6"/>
      <c r="F640" s="6"/>
      <c r="G640" s="6"/>
      <c r="H640" s="6"/>
    </row>
    <row r="641" spans="2:8" x14ac:dyDescent="0.25">
      <c r="B641" s="6"/>
      <c r="C641" s="6"/>
      <c r="D641" s="6"/>
      <c r="E641" s="6"/>
      <c r="F641" s="6"/>
      <c r="G641" s="6"/>
      <c r="H641" s="6"/>
    </row>
    <row r="642" spans="2:8" x14ac:dyDescent="0.25">
      <c r="B642" s="6"/>
      <c r="C642" s="6"/>
      <c r="D642" s="6"/>
      <c r="E642" s="6"/>
      <c r="F642" s="6"/>
      <c r="G642" s="6"/>
      <c r="H642" s="6"/>
    </row>
    <row r="643" spans="2:8" x14ac:dyDescent="0.25">
      <c r="B643" s="6"/>
      <c r="C643" s="6"/>
      <c r="D643" s="6"/>
      <c r="E643" s="6"/>
      <c r="F643" s="6"/>
      <c r="G643" s="6"/>
      <c r="H643" s="6"/>
    </row>
    <row r="644" spans="2:8" x14ac:dyDescent="0.25">
      <c r="B644" s="6"/>
      <c r="C644" s="6"/>
      <c r="D644" s="6"/>
      <c r="E644" s="6"/>
      <c r="F644" s="6"/>
      <c r="G644" s="6"/>
      <c r="H644" s="6"/>
    </row>
    <row r="645" spans="2:8" x14ac:dyDescent="0.25">
      <c r="B645" s="6"/>
      <c r="C645" s="6"/>
      <c r="D645" s="6"/>
      <c r="E645" s="6"/>
      <c r="F645" s="6"/>
      <c r="G645" s="6"/>
      <c r="H645" s="6"/>
    </row>
    <row r="646" spans="2:8" x14ac:dyDescent="0.25">
      <c r="B646" s="6"/>
      <c r="C646" s="6"/>
      <c r="D646" s="6"/>
      <c r="E646" s="6"/>
      <c r="F646" s="6"/>
      <c r="G646" s="6"/>
      <c r="H646" s="6"/>
    </row>
    <row r="647" spans="2:8" x14ac:dyDescent="0.25">
      <c r="B647" s="6"/>
      <c r="C647" s="6"/>
      <c r="D647" s="6"/>
      <c r="E647" s="6"/>
      <c r="F647" s="6"/>
      <c r="G647" s="6"/>
      <c r="H647" s="6"/>
    </row>
    <row r="648" spans="2:8" x14ac:dyDescent="0.25">
      <c r="B648" s="6"/>
      <c r="C648" s="6"/>
      <c r="D648" s="6"/>
      <c r="E648" s="6"/>
      <c r="F648" s="6"/>
      <c r="G648" s="6"/>
      <c r="H648" s="6"/>
    </row>
    <row r="649" spans="2:8" x14ac:dyDescent="0.25">
      <c r="B649" s="6"/>
      <c r="C649" s="6"/>
      <c r="D649" s="6"/>
      <c r="E649" s="6"/>
      <c r="F649" s="6"/>
      <c r="G649" s="6"/>
      <c r="H649" s="6"/>
    </row>
    <row r="650" spans="2:8" x14ac:dyDescent="0.25">
      <c r="B650" s="6"/>
      <c r="C650" s="6"/>
      <c r="D650" s="6"/>
      <c r="E650" s="6"/>
      <c r="F650" s="6"/>
      <c r="G650" s="6"/>
      <c r="H650" s="6"/>
    </row>
    <row r="651" spans="2:8" x14ac:dyDescent="0.25">
      <c r="B651" s="6"/>
      <c r="C651" s="6"/>
      <c r="D651" s="6"/>
      <c r="E651" s="6"/>
      <c r="F651" s="6"/>
      <c r="G651" s="6"/>
      <c r="H651" s="6"/>
    </row>
    <row r="652" spans="2:8" x14ac:dyDescent="0.25">
      <c r="B652" s="6"/>
      <c r="C652" s="6"/>
      <c r="D652" s="6"/>
      <c r="E652" s="6"/>
      <c r="F652" s="6"/>
      <c r="G652" s="6"/>
      <c r="H652" s="6"/>
    </row>
    <row r="653" spans="2:8" x14ac:dyDescent="0.25">
      <c r="B653" s="6"/>
      <c r="C653" s="6"/>
      <c r="D653" s="6"/>
      <c r="E653" s="6"/>
      <c r="F653" s="6"/>
      <c r="G653" s="6"/>
      <c r="H653" s="6"/>
    </row>
    <row r="654" spans="2:8" x14ac:dyDescent="0.25">
      <c r="B654" s="6"/>
      <c r="C654" s="6"/>
      <c r="D654" s="6"/>
      <c r="E654" s="6"/>
      <c r="F654" s="6"/>
      <c r="G654" s="6"/>
      <c r="H654" s="6"/>
    </row>
    <row r="655" spans="2:8" x14ac:dyDescent="0.25">
      <c r="B655" s="6"/>
      <c r="C655" s="6"/>
      <c r="D655" s="6"/>
      <c r="E655" s="6"/>
      <c r="F655" s="6"/>
      <c r="G655" s="6"/>
      <c r="H655" s="6"/>
    </row>
    <row r="656" spans="2:8" x14ac:dyDescent="0.25">
      <c r="B656" s="6"/>
      <c r="C656" s="6"/>
      <c r="D656" s="6"/>
      <c r="E656" s="6"/>
      <c r="F656" s="6"/>
      <c r="G656" s="6"/>
      <c r="H656" s="6"/>
    </row>
    <row r="657" spans="2:8" x14ac:dyDescent="0.25">
      <c r="B657" s="6"/>
      <c r="C657" s="6"/>
      <c r="D657" s="6"/>
      <c r="E657" s="6"/>
      <c r="F657" s="6"/>
      <c r="G657" s="6"/>
      <c r="H657" s="6"/>
    </row>
    <row r="658" spans="2:8" x14ac:dyDescent="0.25">
      <c r="B658" s="6"/>
      <c r="C658" s="6"/>
      <c r="D658" s="6"/>
      <c r="E658" s="6"/>
      <c r="F658" s="6"/>
      <c r="G658" s="6"/>
      <c r="H658" s="6"/>
    </row>
    <row r="659" spans="2:8" x14ac:dyDescent="0.25">
      <c r="B659" s="6"/>
      <c r="C659" s="6"/>
      <c r="D659" s="6"/>
      <c r="E659" s="6"/>
      <c r="F659" s="6"/>
      <c r="G659" s="6"/>
      <c r="H659" s="6"/>
    </row>
    <row r="660" spans="2:8" x14ac:dyDescent="0.25">
      <c r="B660" s="6"/>
      <c r="C660" s="6"/>
      <c r="D660" s="6"/>
      <c r="E660" s="6"/>
      <c r="F660" s="6"/>
      <c r="G660" s="6"/>
      <c r="H660" s="6"/>
    </row>
    <row r="661" spans="2:8" x14ac:dyDescent="0.25">
      <c r="B661" s="6"/>
      <c r="C661" s="6"/>
      <c r="D661" s="6"/>
      <c r="E661" s="6"/>
      <c r="F661" s="6"/>
      <c r="G661" s="6"/>
      <c r="H661" s="6"/>
    </row>
    <row r="662" spans="2:8" x14ac:dyDescent="0.25">
      <c r="B662" s="6"/>
      <c r="C662" s="6"/>
      <c r="D662" s="6"/>
      <c r="E662" s="6"/>
      <c r="F662" s="6"/>
      <c r="G662" s="6"/>
      <c r="H662" s="6"/>
    </row>
    <row r="663" spans="2:8" x14ac:dyDescent="0.25">
      <c r="B663" s="6"/>
      <c r="C663" s="6"/>
      <c r="D663" s="6"/>
      <c r="E663" s="6"/>
      <c r="F663" s="6"/>
      <c r="G663" s="6"/>
      <c r="H663" s="6"/>
    </row>
    <row r="664" spans="2:8" x14ac:dyDescent="0.25">
      <c r="B664" s="6"/>
      <c r="C664" s="6"/>
      <c r="D664" s="6"/>
      <c r="E664" s="6"/>
      <c r="F664" s="6"/>
      <c r="G664" s="6"/>
      <c r="H664" s="6"/>
    </row>
    <row r="665" spans="2:8" x14ac:dyDescent="0.25">
      <c r="B665" s="6"/>
      <c r="C665" s="6"/>
      <c r="D665" s="6"/>
      <c r="E665" s="6"/>
      <c r="F665" s="6"/>
      <c r="G665" s="6"/>
      <c r="H665" s="6"/>
    </row>
    <row r="666" spans="2:8" x14ac:dyDescent="0.25">
      <c r="B666" s="6"/>
      <c r="C666" s="6"/>
      <c r="D666" s="6"/>
      <c r="E666" s="6"/>
      <c r="F666" s="6"/>
      <c r="G666" s="6"/>
      <c r="H666" s="6"/>
    </row>
    <row r="667" spans="2:8" x14ac:dyDescent="0.25">
      <c r="B667" s="6"/>
      <c r="C667" s="6"/>
      <c r="D667" s="6"/>
      <c r="E667" s="6"/>
      <c r="F667" s="6"/>
      <c r="G667" s="6"/>
      <c r="H667" s="6"/>
    </row>
    <row r="668" spans="2:8" x14ac:dyDescent="0.25">
      <c r="B668" s="6"/>
      <c r="C668" s="6"/>
      <c r="D668" s="6"/>
      <c r="E668" s="6"/>
      <c r="F668" s="6"/>
      <c r="G668" s="6"/>
      <c r="H668" s="6"/>
    </row>
    <row r="669" spans="2:8" x14ac:dyDescent="0.25">
      <c r="B669" s="6"/>
      <c r="C669" s="6"/>
      <c r="D669" s="6"/>
      <c r="E669" s="6"/>
      <c r="F669" s="6"/>
      <c r="G669" s="6"/>
      <c r="H669" s="6"/>
    </row>
    <row r="670" spans="2:8" x14ac:dyDescent="0.25">
      <c r="B670" s="6"/>
      <c r="C670" s="6"/>
      <c r="D670" s="6"/>
      <c r="E670" s="6"/>
      <c r="F670" s="6"/>
      <c r="G670" s="6"/>
      <c r="H670" s="6"/>
    </row>
    <row r="671" spans="2:8" x14ac:dyDescent="0.25">
      <c r="B671" s="6"/>
      <c r="C671" s="6"/>
      <c r="D671" s="6"/>
      <c r="E671" s="6"/>
      <c r="F671" s="6"/>
      <c r="G671" s="6"/>
      <c r="H671" s="6"/>
    </row>
    <row r="672" spans="2:8" x14ac:dyDescent="0.25">
      <c r="B672" s="6"/>
      <c r="C672" s="6"/>
      <c r="D672" s="6"/>
      <c r="E672" s="6"/>
      <c r="F672" s="6"/>
      <c r="G672" s="6"/>
      <c r="H672" s="6"/>
    </row>
    <row r="673" spans="2:8" x14ac:dyDescent="0.25">
      <c r="B673" s="6"/>
      <c r="C673" s="6"/>
      <c r="D673" s="6"/>
      <c r="E673" s="6"/>
      <c r="F673" s="6"/>
      <c r="G673" s="6"/>
      <c r="H673" s="6"/>
    </row>
    <row r="674" spans="2:8" x14ac:dyDescent="0.25">
      <c r="B674" s="6"/>
      <c r="C674" s="6"/>
      <c r="D674" s="6"/>
      <c r="E674" s="6"/>
      <c r="F674" s="6"/>
      <c r="G674" s="6"/>
      <c r="H674" s="6"/>
    </row>
    <row r="675" spans="2:8" x14ac:dyDescent="0.25">
      <c r="B675" s="6"/>
      <c r="C675" s="6"/>
      <c r="D675" s="6"/>
      <c r="E675" s="6"/>
      <c r="F675" s="6"/>
      <c r="G675" s="6"/>
      <c r="H675" s="6"/>
    </row>
    <row r="676" spans="2:8" x14ac:dyDescent="0.25">
      <c r="B676" s="6"/>
      <c r="C676" s="6"/>
      <c r="D676" s="6"/>
      <c r="E676" s="6"/>
      <c r="F676" s="6"/>
      <c r="G676" s="6"/>
      <c r="H676" s="6"/>
    </row>
    <row r="677" spans="2:8" x14ac:dyDescent="0.25">
      <c r="B677" s="6"/>
      <c r="C677" s="6"/>
      <c r="D677" s="6"/>
      <c r="E677" s="6"/>
      <c r="F677" s="6"/>
      <c r="G677" s="6"/>
      <c r="H677" s="6"/>
    </row>
    <row r="678" spans="2:8" x14ac:dyDescent="0.25">
      <c r="B678" s="6"/>
      <c r="C678" s="6"/>
      <c r="D678" s="6"/>
      <c r="E678" s="6"/>
      <c r="F678" s="6"/>
      <c r="G678" s="6"/>
      <c r="H678" s="6"/>
    </row>
    <row r="679" spans="2:8" x14ac:dyDescent="0.25">
      <c r="B679" s="6"/>
      <c r="C679" s="6"/>
      <c r="D679" s="6"/>
      <c r="E679" s="6"/>
      <c r="F679" s="6"/>
      <c r="G679" s="6"/>
      <c r="H679" s="6"/>
    </row>
    <row r="680" spans="2:8" x14ac:dyDescent="0.25">
      <c r="B680" s="6"/>
      <c r="C680" s="6"/>
      <c r="D680" s="6"/>
      <c r="E680" s="6"/>
      <c r="F680" s="6"/>
      <c r="G680" s="6"/>
      <c r="H680" s="6"/>
    </row>
    <row r="681" spans="2:8" x14ac:dyDescent="0.25">
      <c r="B681" s="6"/>
      <c r="C681" s="6"/>
      <c r="D681" s="6"/>
      <c r="E681" s="6"/>
      <c r="F681" s="6"/>
      <c r="G681" s="6"/>
      <c r="H681" s="6"/>
    </row>
    <row r="682" spans="2:8" x14ac:dyDescent="0.25">
      <c r="B682" s="6"/>
      <c r="C682" s="6"/>
      <c r="D682" s="6"/>
      <c r="E682" s="6"/>
      <c r="F682" s="6"/>
      <c r="G682" s="6"/>
      <c r="H682" s="6"/>
    </row>
    <row r="683" spans="2:8" x14ac:dyDescent="0.25">
      <c r="B683" s="6"/>
      <c r="C683" s="6"/>
      <c r="D683" s="6"/>
      <c r="E683" s="6"/>
      <c r="F683" s="6"/>
      <c r="G683" s="6"/>
      <c r="H683" s="6"/>
    </row>
    <row r="684" spans="2:8" x14ac:dyDescent="0.25">
      <c r="B684" s="6"/>
      <c r="C684" s="6"/>
      <c r="D684" s="6"/>
      <c r="E684" s="6"/>
      <c r="F684" s="6"/>
      <c r="G684" s="6"/>
      <c r="H684" s="6"/>
    </row>
    <row r="685" spans="2:8" x14ac:dyDescent="0.25">
      <c r="B685" s="6"/>
      <c r="C685" s="6"/>
      <c r="D685" s="6"/>
      <c r="E685" s="6"/>
      <c r="F685" s="6"/>
      <c r="G685" s="6"/>
      <c r="H685" s="6"/>
    </row>
    <row r="686" spans="2:8" x14ac:dyDescent="0.25">
      <c r="B686" s="6"/>
      <c r="C686" s="6"/>
      <c r="D686" s="6"/>
      <c r="E686" s="6"/>
      <c r="F686" s="6"/>
      <c r="G686" s="6"/>
      <c r="H686" s="6"/>
    </row>
    <row r="687" spans="2:8" x14ac:dyDescent="0.25">
      <c r="B687" s="6"/>
      <c r="C687" s="6"/>
      <c r="D687" s="6"/>
      <c r="E687" s="6"/>
      <c r="F687" s="6"/>
      <c r="G687" s="6"/>
      <c r="H687" s="6"/>
    </row>
    <row r="688" spans="2:8" x14ac:dyDescent="0.25">
      <c r="B688" s="6"/>
      <c r="C688" s="6"/>
      <c r="D688" s="6"/>
      <c r="E688" s="6"/>
      <c r="F688" s="6"/>
      <c r="G688" s="6"/>
      <c r="H688" s="6"/>
    </row>
    <row r="689" spans="2:8" x14ac:dyDescent="0.25">
      <c r="B689" s="6"/>
      <c r="C689" s="6"/>
      <c r="D689" s="6"/>
      <c r="E689" s="6"/>
      <c r="F689" s="6"/>
      <c r="G689" s="6"/>
      <c r="H689" s="6"/>
    </row>
    <row r="690" spans="2:8" x14ac:dyDescent="0.25">
      <c r="B690" s="6"/>
      <c r="C690" s="6"/>
      <c r="D690" s="6"/>
      <c r="E690" s="6"/>
      <c r="F690" s="6"/>
      <c r="G690" s="6"/>
      <c r="H690" s="6"/>
    </row>
    <row r="691" spans="2:8" x14ac:dyDescent="0.25">
      <c r="B691" s="6"/>
      <c r="C691" s="6"/>
      <c r="D691" s="6"/>
      <c r="E691" s="6"/>
      <c r="F691" s="6"/>
      <c r="G691" s="6"/>
      <c r="H691" s="6"/>
    </row>
    <row r="692" spans="2:8" x14ac:dyDescent="0.25">
      <c r="B692" s="6"/>
      <c r="C692" s="6"/>
      <c r="D692" s="6"/>
      <c r="E692" s="6"/>
      <c r="F692" s="6"/>
      <c r="G692" s="6"/>
      <c r="H692" s="6"/>
    </row>
    <row r="693" spans="2:8" x14ac:dyDescent="0.25">
      <c r="B693" s="6"/>
      <c r="C693" s="6"/>
      <c r="D693" s="6"/>
      <c r="E693" s="6"/>
      <c r="F693" s="6"/>
      <c r="G693" s="6"/>
      <c r="H693" s="6"/>
    </row>
    <row r="694" spans="2:8" x14ac:dyDescent="0.25">
      <c r="B694" s="6"/>
      <c r="C694" s="6"/>
      <c r="D694" s="6"/>
      <c r="E694" s="6"/>
      <c r="F694" s="6"/>
      <c r="G694" s="6"/>
      <c r="H694" s="6"/>
    </row>
    <row r="695" spans="2:8" x14ac:dyDescent="0.25">
      <c r="B695" s="6"/>
      <c r="C695" s="6"/>
      <c r="D695" s="6"/>
      <c r="E695" s="6"/>
      <c r="F695" s="6"/>
      <c r="G695" s="6"/>
      <c r="H695" s="6"/>
    </row>
    <row r="696" spans="2:8" x14ac:dyDescent="0.25">
      <c r="B696" s="6"/>
      <c r="C696" s="6"/>
      <c r="D696" s="6"/>
      <c r="E696" s="6"/>
      <c r="F696" s="6"/>
      <c r="G696" s="6"/>
      <c r="H696" s="6"/>
    </row>
    <row r="697" spans="2:8" x14ac:dyDescent="0.25">
      <c r="B697" s="6"/>
      <c r="C697" s="6"/>
      <c r="D697" s="6"/>
      <c r="E697" s="6"/>
      <c r="F697" s="6"/>
      <c r="G697" s="6"/>
      <c r="H697" s="6"/>
    </row>
    <row r="698" spans="2:8" x14ac:dyDescent="0.25">
      <c r="B698" s="6"/>
      <c r="C698" s="6"/>
      <c r="D698" s="6"/>
      <c r="E698" s="6"/>
      <c r="F698" s="6"/>
      <c r="G698" s="6"/>
      <c r="H698" s="6"/>
    </row>
    <row r="699" spans="2:8" x14ac:dyDescent="0.25">
      <c r="B699" s="6"/>
      <c r="C699" s="6"/>
      <c r="D699" s="6"/>
      <c r="E699" s="6"/>
      <c r="F699" s="6"/>
      <c r="G699" s="6"/>
      <c r="H699" s="6"/>
    </row>
    <row r="700" spans="2:8" x14ac:dyDescent="0.25">
      <c r="B700" s="6"/>
      <c r="C700" s="6"/>
      <c r="D700" s="6"/>
      <c r="E700" s="6"/>
      <c r="F700" s="6"/>
      <c r="G700" s="6"/>
      <c r="H700" s="6"/>
    </row>
    <row r="701" spans="2:8" x14ac:dyDescent="0.25">
      <c r="B701" s="6"/>
      <c r="C701" s="6"/>
      <c r="D701" s="6"/>
      <c r="E701" s="6"/>
      <c r="F701" s="6"/>
      <c r="G701" s="6"/>
      <c r="H701" s="6"/>
    </row>
    <row r="702" spans="2:8" x14ac:dyDescent="0.25">
      <c r="B702" s="6"/>
      <c r="C702" s="6"/>
      <c r="D702" s="6"/>
      <c r="E702" s="6"/>
      <c r="F702" s="6"/>
      <c r="G702" s="6"/>
      <c r="H702" s="6"/>
    </row>
    <row r="703" spans="2:8" x14ac:dyDescent="0.25">
      <c r="B703" s="6"/>
      <c r="C703" s="6"/>
      <c r="D703" s="6"/>
      <c r="E703" s="6"/>
      <c r="F703" s="6"/>
      <c r="G703" s="6"/>
      <c r="H703" s="6"/>
    </row>
    <row r="704" spans="2:8" x14ac:dyDescent="0.25">
      <c r="B704" s="6"/>
      <c r="C704" s="6"/>
      <c r="D704" s="6"/>
      <c r="E704" s="6"/>
      <c r="F704" s="6"/>
      <c r="G704" s="6"/>
      <c r="H704" s="6"/>
    </row>
    <row r="705" spans="2:8" x14ac:dyDescent="0.25">
      <c r="B705" s="6"/>
      <c r="C705" s="6"/>
      <c r="D705" s="6"/>
      <c r="E705" s="6"/>
      <c r="F705" s="6"/>
      <c r="G705" s="6"/>
      <c r="H705" s="6"/>
    </row>
    <row r="706" spans="2:8" x14ac:dyDescent="0.25">
      <c r="B706" s="6"/>
      <c r="C706" s="6"/>
      <c r="D706" s="6"/>
      <c r="E706" s="6"/>
      <c r="F706" s="6"/>
      <c r="G706" s="6"/>
      <c r="H706" s="6"/>
    </row>
    <row r="707" spans="2:8" x14ac:dyDescent="0.25">
      <c r="B707" s="6"/>
      <c r="C707" s="6"/>
      <c r="D707" s="6"/>
      <c r="E707" s="6"/>
      <c r="F707" s="6"/>
      <c r="G707" s="6"/>
      <c r="H707" s="6"/>
    </row>
    <row r="708" spans="2:8" x14ac:dyDescent="0.25">
      <c r="B708" s="6"/>
      <c r="C708" s="6"/>
      <c r="D708" s="6"/>
      <c r="E708" s="6"/>
      <c r="F708" s="6"/>
      <c r="G708" s="6"/>
      <c r="H708" s="6"/>
    </row>
    <row r="709" spans="2:8" x14ac:dyDescent="0.25">
      <c r="B709" s="6"/>
      <c r="C709" s="6"/>
      <c r="D709" s="6"/>
      <c r="E709" s="6"/>
      <c r="F709" s="6"/>
      <c r="G709" s="6"/>
      <c r="H709" s="6"/>
    </row>
    <row r="710" spans="2:8" x14ac:dyDescent="0.25">
      <c r="B710" s="6"/>
      <c r="C710" s="6"/>
      <c r="D710" s="6"/>
      <c r="E710" s="6"/>
      <c r="F710" s="6"/>
      <c r="G710" s="6"/>
      <c r="H710" s="6"/>
    </row>
    <row r="711" spans="2:8" x14ac:dyDescent="0.25">
      <c r="B711" s="6"/>
      <c r="C711" s="6"/>
      <c r="D711" s="6"/>
      <c r="E711" s="6"/>
      <c r="F711" s="6"/>
      <c r="G711" s="6"/>
      <c r="H711" s="6"/>
    </row>
    <row r="712" spans="2:8" x14ac:dyDescent="0.25">
      <c r="B712" s="6"/>
      <c r="C712" s="6"/>
      <c r="D712" s="6"/>
      <c r="E712" s="6"/>
      <c r="F712" s="6"/>
      <c r="G712" s="6"/>
      <c r="H712" s="6"/>
    </row>
    <row r="713" spans="2:8" x14ac:dyDescent="0.25">
      <c r="B713" s="6"/>
      <c r="C713" s="6"/>
      <c r="D713" s="6"/>
      <c r="E713" s="6"/>
      <c r="F713" s="6"/>
      <c r="G713" s="6"/>
      <c r="H713" s="6"/>
    </row>
    <row r="714" spans="2:8" x14ac:dyDescent="0.25">
      <c r="B714" s="6"/>
      <c r="C714" s="6"/>
      <c r="D714" s="6"/>
      <c r="E714" s="6"/>
      <c r="F714" s="6"/>
      <c r="G714" s="6"/>
      <c r="H714" s="6"/>
    </row>
    <row r="715" spans="2:8" x14ac:dyDescent="0.25">
      <c r="B715" s="6"/>
      <c r="C715" s="6"/>
      <c r="D715" s="6"/>
      <c r="E715" s="6"/>
      <c r="F715" s="6"/>
      <c r="G715" s="6"/>
      <c r="H715" s="6"/>
    </row>
    <row r="716" spans="2:8" x14ac:dyDescent="0.25">
      <c r="B716" s="6"/>
      <c r="C716" s="6"/>
      <c r="D716" s="6"/>
      <c r="E716" s="6"/>
      <c r="F716" s="6"/>
      <c r="G716" s="6"/>
      <c r="H716" s="6"/>
    </row>
    <row r="717" spans="2:8" x14ac:dyDescent="0.25">
      <c r="B717" s="6"/>
      <c r="C717" s="6"/>
      <c r="D717" s="6"/>
      <c r="E717" s="6"/>
      <c r="F717" s="6"/>
      <c r="G717" s="6"/>
      <c r="H717" s="6"/>
    </row>
    <row r="718" spans="2:8" x14ac:dyDescent="0.25">
      <c r="B718" s="6"/>
      <c r="C718" s="6"/>
      <c r="D718" s="6"/>
      <c r="E718" s="6"/>
      <c r="F718" s="6"/>
      <c r="G718" s="6"/>
      <c r="H718" s="6"/>
    </row>
    <row r="719" spans="2:8" x14ac:dyDescent="0.25">
      <c r="B719" s="6"/>
      <c r="C719" s="6"/>
      <c r="D719" s="6"/>
      <c r="E719" s="6"/>
      <c r="F719" s="6"/>
      <c r="G719" s="6"/>
      <c r="H719" s="6"/>
    </row>
    <row r="720" spans="2:8" x14ac:dyDescent="0.25">
      <c r="B720" s="6"/>
      <c r="C720" s="6"/>
      <c r="D720" s="6"/>
      <c r="E720" s="6"/>
      <c r="F720" s="6"/>
      <c r="G720" s="6"/>
      <c r="H720" s="6"/>
    </row>
    <row r="721" spans="2:8" x14ac:dyDescent="0.25">
      <c r="B721" s="6"/>
      <c r="C721" s="6"/>
      <c r="D721" s="6"/>
      <c r="E721" s="6"/>
      <c r="F721" s="6"/>
      <c r="G721" s="6"/>
      <c r="H721" s="6"/>
    </row>
    <row r="722" spans="2:8" x14ac:dyDescent="0.25">
      <c r="B722" s="6"/>
      <c r="C722" s="6"/>
      <c r="D722" s="6"/>
      <c r="E722" s="6"/>
      <c r="F722" s="6"/>
      <c r="G722" s="6"/>
      <c r="H722" s="6"/>
    </row>
    <row r="723" spans="2:8" x14ac:dyDescent="0.25">
      <c r="B723" s="6"/>
      <c r="C723" s="6"/>
      <c r="D723" s="6"/>
      <c r="E723" s="6"/>
      <c r="F723" s="6"/>
      <c r="G723" s="6"/>
      <c r="H723" s="6"/>
    </row>
    <row r="724" spans="2:8" x14ac:dyDescent="0.25">
      <c r="B724" s="6"/>
      <c r="C724" s="6"/>
      <c r="D724" s="6"/>
      <c r="E724" s="6"/>
      <c r="F724" s="6"/>
      <c r="G724" s="6"/>
      <c r="H724" s="6"/>
    </row>
    <row r="725" spans="2:8" x14ac:dyDescent="0.25">
      <c r="B725" s="6"/>
      <c r="C725" s="6"/>
      <c r="D725" s="6"/>
      <c r="E725" s="6"/>
      <c r="F725" s="6"/>
      <c r="G725" s="6"/>
      <c r="H725" s="6"/>
    </row>
    <row r="726" spans="2:8" x14ac:dyDescent="0.25">
      <c r="B726" s="6"/>
      <c r="C726" s="6"/>
      <c r="D726" s="6"/>
      <c r="E726" s="6"/>
      <c r="F726" s="6"/>
      <c r="G726" s="6"/>
      <c r="H726" s="6"/>
    </row>
    <row r="727" spans="2:8" x14ac:dyDescent="0.25">
      <c r="B727" s="6"/>
      <c r="C727" s="6"/>
      <c r="D727" s="6"/>
      <c r="E727" s="6"/>
      <c r="F727" s="6"/>
      <c r="G727" s="6"/>
      <c r="H727" s="6"/>
    </row>
    <row r="728" spans="2:8" x14ac:dyDescent="0.25">
      <c r="B728" s="6"/>
      <c r="C728" s="6"/>
      <c r="D728" s="6"/>
      <c r="E728" s="6"/>
      <c r="F728" s="6"/>
      <c r="G728" s="6"/>
      <c r="H728" s="6"/>
    </row>
    <row r="729" spans="2:8" x14ac:dyDescent="0.25">
      <c r="B729" s="6"/>
      <c r="C729" s="6"/>
      <c r="D729" s="6"/>
      <c r="E729" s="6"/>
      <c r="F729" s="6"/>
      <c r="G729" s="6"/>
      <c r="H729" s="6"/>
    </row>
    <row r="730" spans="2:8" x14ac:dyDescent="0.25">
      <c r="B730" s="6"/>
      <c r="C730" s="6"/>
      <c r="D730" s="6"/>
      <c r="E730" s="6"/>
      <c r="F730" s="6"/>
      <c r="G730" s="6"/>
      <c r="H730" s="6"/>
    </row>
    <row r="731" spans="2:8" x14ac:dyDescent="0.25">
      <c r="B731" s="6"/>
      <c r="C731" s="6"/>
      <c r="D731" s="6"/>
      <c r="E731" s="6"/>
      <c r="F731" s="6"/>
      <c r="G731" s="6"/>
      <c r="H731" s="6"/>
    </row>
    <row r="732" spans="2:8" x14ac:dyDescent="0.25">
      <c r="B732" s="6"/>
      <c r="C732" s="6"/>
      <c r="D732" s="6"/>
      <c r="E732" s="6"/>
      <c r="F732" s="6"/>
      <c r="G732" s="6"/>
      <c r="H732" s="6"/>
    </row>
    <row r="733" spans="2:8" x14ac:dyDescent="0.25">
      <c r="B733" s="6"/>
      <c r="C733" s="6"/>
      <c r="D733" s="6"/>
      <c r="E733" s="6"/>
      <c r="F733" s="6"/>
      <c r="G733" s="6"/>
      <c r="H733" s="6"/>
    </row>
    <row r="734" spans="2:8" x14ac:dyDescent="0.25">
      <c r="B734" s="6"/>
      <c r="C734" s="6"/>
      <c r="D734" s="6"/>
      <c r="E734" s="6"/>
      <c r="F734" s="6"/>
      <c r="G734" s="6"/>
      <c r="H734" s="6"/>
    </row>
    <row r="735" spans="2:8" x14ac:dyDescent="0.25">
      <c r="B735" s="6"/>
      <c r="C735" s="6"/>
      <c r="D735" s="6"/>
      <c r="E735" s="6"/>
      <c r="F735" s="6"/>
      <c r="G735" s="6"/>
      <c r="H735" s="6"/>
    </row>
    <row r="736" spans="2:8" x14ac:dyDescent="0.25">
      <c r="B736" s="6"/>
      <c r="C736" s="6"/>
      <c r="D736" s="6"/>
      <c r="E736" s="6"/>
      <c r="F736" s="6"/>
      <c r="G736" s="6"/>
      <c r="H736" s="6"/>
    </row>
    <row r="737" spans="2:8" x14ac:dyDescent="0.25">
      <c r="B737" s="6"/>
      <c r="C737" s="6"/>
      <c r="D737" s="6"/>
      <c r="E737" s="6"/>
      <c r="F737" s="6"/>
      <c r="G737" s="6"/>
      <c r="H737" s="6"/>
    </row>
    <row r="738" spans="2:8" x14ac:dyDescent="0.25">
      <c r="B738" s="6"/>
      <c r="C738" s="6"/>
      <c r="D738" s="6"/>
      <c r="E738" s="6"/>
      <c r="F738" s="6"/>
      <c r="G738" s="6"/>
      <c r="H738" s="6"/>
    </row>
    <row r="739" spans="2:8" x14ac:dyDescent="0.25">
      <c r="B739" s="6"/>
      <c r="C739" s="6"/>
      <c r="D739" s="6"/>
      <c r="E739" s="6"/>
      <c r="F739" s="6"/>
      <c r="G739" s="6"/>
      <c r="H739" s="6"/>
    </row>
    <row r="740" spans="2:8" x14ac:dyDescent="0.25">
      <c r="B740" s="6"/>
      <c r="C740" s="6"/>
      <c r="D740" s="6"/>
      <c r="E740" s="6"/>
      <c r="F740" s="6"/>
      <c r="G740" s="6"/>
      <c r="H740" s="6"/>
    </row>
    <row r="741" spans="2:8" x14ac:dyDescent="0.25">
      <c r="B741" s="6"/>
      <c r="C741" s="6"/>
      <c r="D741" s="6"/>
      <c r="E741" s="6"/>
      <c r="F741" s="6"/>
      <c r="G741" s="6"/>
      <c r="H741" s="6"/>
    </row>
    <row r="742" spans="2:8" x14ac:dyDescent="0.25">
      <c r="B742" s="6"/>
      <c r="C742" s="6"/>
      <c r="D742" s="6"/>
      <c r="E742" s="6"/>
      <c r="F742" s="6"/>
      <c r="G742" s="6"/>
      <c r="H742" s="6"/>
    </row>
    <row r="743" spans="2:8" x14ac:dyDescent="0.25">
      <c r="B743" s="6"/>
      <c r="C743" s="6"/>
      <c r="D743" s="6"/>
      <c r="E743" s="6"/>
      <c r="F743" s="6"/>
      <c r="G743" s="6"/>
      <c r="H743" s="6"/>
    </row>
    <row r="744" spans="2:8" x14ac:dyDescent="0.25">
      <c r="B744" s="6"/>
      <c r="C744" s="6"/>
      <c r="D744" s="6"/>
      <c r="E744" s="6"/>
      <c r="F744" s="6"/>
      <c r="G744" s="6"/>
      <c r="H744" s="6"/>
    </row>
    <row r="745" spans="2:8" x14ac:dyDescent="0.25">
      <c r="B745" s="6"/>
      <c r="C745" s="6"/>
      <c r="D745" s="6"/>
      <c r="E745" s="6"/>
      <c r="F745" s="6"/>
      <c r="G745" s="6"/>
      <c r="H745" s="6"/>
    </row>
    <row r="746" spans="2:8" x14ac:dyDescent="0.25">
      <c r="B746" s="6"/>
      <c r="C746" s="6"/>
      <c r="D746" s="6"/>
      <c r="E746" s="6"/>
      <c r="F746" s="6"/>
      <c r="G746" s="6"/>
      <c r="H746" s="6"/>
    </row>
    <row r="747" spans="2:8" x14ac:dyDescent="0.25">
      <c r="B747" s="6"/>
      <c r="C747" s="6"/>
      <c r="D747" s="6"/>
      <c r="E747" s="6"/>
      <c r="F747" s="6"/>
      <c r="G747" s="6"/>
      <c r="H747" s="6"/>
    </row>
    <row r="748" spans="2:8" x14ac:dyDescent="0.25">
      <c r="B748" s="6"/>
      <c r="C748" s="6"/>
      <c r="D748" s="6"/>
      <c r="E748" s="6"/>
      <c r="F748" s="6"/>
      <c r="G748" s="6"/>
      <c r="H748" s="6"/>
    </row>
    <row r="749" spans="2:8" x14ac:dyDescent="0.25">
      <c r="B749" s="6"/>
      <c r="C749" s="6"/>
      <c r="D749" s="6"/>
      <c r="E749" s="6"/>
      <c r="F749" s="6"/>
      <c r="G749" s="6"/>
      <c r="H749" s="6"/>
    </row>
    <row r="750" spans="2:8" x14ac:dyDescent="0.25">
      <c r="B750" s="6"/>
      <c r="C750" s="6"/>
      <c r="D750" s="6"/>
      <c r="E750" s="6"/>
      <c r="F750" s="6"/>
      <c r="G750" s="6"/>
      <c r="H750" s="6"/>
    </row>
    <row r="751" spans="2:8" x14ac:dyDescent="0.25">
      <c r="B751" s="6"/>
      <c r="C751" s="6"/>
      <c r="D751" s="6"/>
      <c r="E751" s="6"/>
      <c r="F751" s="6"/>
      <c r="G751" s="6"/>
      <c r="H751" s="6"/>
    </row>
    <row r="752" spans="2:8" x14ac:dyDescent="0.25">
      <c r="B752" s="6"/>
      <c r="C752" s="6"/>
      <c r="D752" s="6"/>
      <c r="E752" s="6"/>
      <c r="F752" s="6"/>
      <c r="G752" s="6"/>
      <c r="H752" s="6"/>
    </row>
    <row r="753" spans="2:8" x14ac:dyDescent="0.25">
      <c r="B753" s="6"/>
      <c r="C753" s="6"/>
      <c r="D753" s="6"/>
      <c r="E753" s="6"/>
      <c r="F753" s="6"/>
      <c r="G753" s="6"/>
      <c r="H753" s="6"/>
    </row>
    <row r="754" spans="2:8" x14ac:dyDescent="0.25">
      <c r="B754" s="6"/>
      <c r="C754" s="6"/>
      <c r="D754" s="6"/>
      <c r="E754" s="6"/>
      <c r="F754" s="6"/>
      <c r="G754" s="6"/>
      <c r="H754" s="6"/>
    </row>
    <row r="755" spans="2:8" x14ac:dyDescent="0.25">
      <c r="B755" s="6"/>
      <c r="C755" s="6"/>
      <c r="D755" s="6"/>
      <c r="E755" s="6"/>
      <c r="F755" s="6"/>
      <c r="G755" s="6"/>
      <c r="H755" s="6"/>
    </row>
    <row r="756" spans="2:8" x14ac:dyDescent="0.25">
      <c r="B756" s="6"/>
      <c r="C756" s="6"/>
      <c r="D756" s="6"/>
      <c r="E756" s="6"/>
      <c r="F756" s="6"/>
      <c r="G756" s="6"/>
      <c r="H756" s="6"/>
    </row>
    <row r="757" spans="2:8" x14ac:dyDescent="0.25">
      <c r="B757" s="6"/>
      <c r="C757" s="6"/>
      <c r="D757" s="6"/>
      <c r="E757" s="6"/>
      <c r="F757" s="6"/>
      <c r="G757" s="6"/>
      <c r="H757" s="6"/>
    </row>
    <row r="758" spans="2:8" x14ac:dyDescent="0.25">
      <c r="B758" s="6"/>
      <c r="C758" s="6"/>
      <c r="D758" s="6"/>
      <c r="E758" s="6"/>
      <c r="F758" s="6"/>
      <c r="G758" s="6"/>
      <c r="H758" s="6"/>
    </row>
    <row r="759" spans="2:8" x14ac:dyDescent="0.25">
      <c r="B759" s="6"/>
      <c r="C759" s="6"/>
      <c r="D759" s="6"/>
      <c r="E759" s="6"/>
      <c r="F759" s="6"/>
      <c r="G759" s="6"/>
      <c r="H759" s="6"/>
    </row>
    <row r="760" spans="2:8" x14ac:dyDescent="0.25">
      <c r="B760" s="6"/>
      <c r="C760" s="6"/>
      <c r="D760" s="6"/>
      <c r="E760" s="6"/>
      <c r="F760" s="6"/>
      <c r="G760" s="6"/>
      <c r="H760" s="6"/>
    </row>
    <row r="761" spans="2:8" x14ac:dyDescent="0.25">
      <c r="B761" s="6"/>
      <c r="C761" s="6"/>
      <c r="D761" s="6"/>
      <c r="E761" s="6"/>
      <c r="F761" s="6"/>
      <c r="G761" s="6"/>
      <c r="H761" s="6"/>
    </row>
    <row r="762" spans="2:8" x14ac:dyDescent="0.25">
      <c r="B762" s="6"/>
      <c r="C762" s="6"/>
      <c r="D762" s="6"/>
      <c r="E762" s="6"/>
      <c r="F762" s="6"/>
      <c r="G762" s="6"/>
      <c r="H762" s="6"/>
    </row>
    <row r="763" spans="2:8" x14ac:dyDescent="0.25">
      <c r="B763" s="6"/>
      <c r="C763" s="6"/>
      <c r="D763" s="6"/>
      <c r="E763" s="6"/>
      <c r="F763" s="6"/>
      <c r="G763" s="6"/>
      <c r="H763" s="6"/>
    </row>
    <row r="764" spans="2:8" x14ac:dyDescent="0.25">
      <c r="B764" s="6"/>
      <c r="C764" s="6"/>
      <c r="D764" s="6"/>
      <c r="E764" s="6"/>
      <c r="F764" s="6"/>
      <c r="G764" s="6"/>
      <c r="H764" s="6"/>
    </row>
    <row r="765" spans="2:8" x14ac:dyDescent="0.25">
      <c r="B765" s="6"/>
      <c r="C765" s="6"/>
      <c r="D765" s="6"/>
      <c r="E765" s="6"/>
      <c r="F765" s="6"/>
      <c r="G765" s="6"/>
      <c r="H765" s="6"/>
    </row>
    <row r="766" spans="2:8" x14ac:dyDescent="0.25">
      <c r="B766" s="6"/>
      <c r="C766" s="6"/>
      <c r="D766" s="6"/>
      <c r="E766" s="6"/>
      <c r="F766" s="6"/>
      <c r="G766" s="6"/>
      <c r="H766" s="6"/>
    </row>
    <row r="767" spans="2:8" x14ac:dyDescent="0.25">
      <c r="B767" s="6"/>
      <c r="C767" s="6"/>
      <c r="D767" s="6"/>
      <c r="E767" s="6"/>
      <c r="F767" s="6"/>
      <c r="G767" s="6"/>
      <c r="H767" s="6"/>
    </row>
    <row r="768" spans="2:8" x14ac:dyDescent="0.25">
      <c r="B768" s="6"/>
      <c r="C768" s="6"/>
      <c r="D768" s="6"/>
      <c r="E768" s="6"/>
      <c r="F768" s="6"/>
      <c r="G768" s="6"/>
      <c r="H768" s="6"/>
    </row>
    <row r="769" spans="2:8" x14ac:dyDescent="0.25">
      <c r="B769" s="6"/>
      <c r="C769" s="6"/>
      <c r="D769" s="6"/>
      <c r="E769" s="6"/>
      <c r="F769" s="6"/>
      <c r="G769" s="6"/>
      <c r="H769" s="6"/>
    </row>
    <row r="770" spans="2:8" x14ac:dyDescent="0.25">
      <c r="B770" s="6"/>
      <c r="C770" s="6"/>
      <c r="D770" s="6"/>
      <c r="E770" s="6"/>
      <c r="F770" s="6"/>
      <c r="G770" s="6"/>
      <c r="H770" s="6"/>
    </row>
    <row r="771" spans="2:8" x14ac:dyDescent="0.25">
      <c r="B771" s="6"/>
      <c r="C771" s="6"/>
      <c r="D771" s="6"/>
      <c r="E771" s="6"/>
      <c r="F771" s="6"/>
      <c r="G771" s="6"/>
      <c r="H771" s="6"/>
    </row>
    <row r="772" spans="2:8" x14ac:dyDescent="0.25">
      <c r="B772" s="6"/>
      <c r="C772" s="6"/>
      <c r="D772" s="6"/>
      <c r="E772" s="6"/>
      <c r="F772" s="6"/>
      <c r="G772" s="6"/>
      <c r="H772" s="6"/>
    </row>
    <row r="773" spans="2:8" x14ac:dyDescent="0.25">
      <c r="B773" s="6"/>
      <c r="C773" s="6"/>
      <c r="D773" s="6"/>
      <c r="E773" s="6"/>
      <c r="F773" s="6"/>
      <c r="G773" s="6"/>
      <c r="H773" s="6"/>
    </row>
    <row r="774" spans="2:8" x14ac:dyDescent="0.25">
      <c r="B774" s="6"/>
      <c r="C774" s="6"/>
      <c r="D774" s="6"/>
      <c r="E774" s="6"/>
      <c r="F774" s="6"/>
      <c r="G774" s="6"/>
      <c r="H774" s="6"/>
    </row>
    <row r="775" spans="2:8" x14ac:dyDescent="0.25">
      <c r="B775" s="6"/>
      <c r="C775" s="6"/>
      <c r="D775" s="6"/>
      <c r="E775" s="6"/>
      <c r="F775" s="6"/>
      <c r="G775" s="6"/>
      <c r="H775" s="6"/>
    </row>
    <row r="776" spans="2:8" x14ac:dyDescent="0.25">
      <c r="B776" s="6"/>
      <c r="C776" s="6"/>
      <c r="D776" s="6"/>
      <c r="E776" s="6"/>
      <c r="F776" s="6"/>
      <c r="G776" s="6"/>
      <c r="H776" s="6"/>
    </row>
    <row r="777" spans="2:8" x14ac:dyDescent="0.25">
      <c r="B777" s="6"/>
      <c r="C777" s="6"/>
      <c r="D777" s="6"/>
      <c r="E777" s="6"/>
      <c r="F777" s="6"/>
      <c r="G777" s="6"/>
      <c r="H777" s="6"/>
    </row>
    <row r="778" spans="2:8" x14ac:dyDescent="0.25">
      <c r="B778" s="6"/>
      <c r="C778" s="6"/>
      <c r="D778" s="6"/>
      <c r="E778" s="6"/>
      <c r="F778" s="6"/>
      <c r="G778" s="6"/>
      <c r="H778" s="6"/>
    </row>
    <row r="779" spans="2:8" x14ac:dyDescent="0.25">
      <c r="B779" s="6"/>
      <c r="C779" s="6"/>
      <c r="D779" s="6"/>
      <c r="E779" s="6"/>
      <c r="F779" s="6"/>
      <c r="G779" s="6"/>
      <c r="H779" s="6"/>
    </row>
    <row r="780" spans="2:8" x14ac:dyDescent="0.25">
      <c r="B780" s="6"/>
      <c r="C780" s="6"/>
      <c r="D780" s="6"/>
      <c r="E780" s="6"/>
      <c r="F780" s="6"/>
      <c r="G780" s="6"/>
      <c r="H780" s="6"/>
    </row>
    <row r="781" spans="2:8" x14ac:dyDescent="0.25">
      <c r="B781" s="6"/>
      <c r="C781" s="6"/>
      <c r="D781" s="6"/>
      <c r="E781" s="6"/>
      <c r="F781" s="6"/>
      <c r="G781" s="6"/>
      <c r="H781" s="6"/>
    </row>
    <row r="782" spans="2:8" x14ac:dyDescent="0.25">
      <c r="B782" s="6"/>
      <c r="C782" s="6"/>
      <c r="D782" s="6"/>
      <c r="E782" s="6"/>
      <c r="F782" s="6"/>
      <c r="G782" s="6"/>
      <c r="H782" s="6"/>
    </row>
    <row r="783" spans="2:8" x14ac:dyDescent="0.25">
      <c r="B783" s="6"/>
      <c r="C783" s="6"/>
      <c r="D783" s="6"/>
      <c r="E783" s="6"/>
      <c r="F783" s="6"/>
      <c r="G783" s="6"/>
      <c r="H783" s="6"/>
    </row>
    <row r="784" spans="2:8" x14ac:dyDescent="0.25">
      <c r="B784" s="6"/>
      <c r="C784" s="6"/>
      <c r="D784" s="6"/>
      <c r="E784" s="6"/>
      <c r="F784" s="6"/>
      <c r="G784" s="6"/>
      <c r="H784" s="6"/>
    </row>
    <row r="785" spans="2:8" x14ac:dyDescent="0.25">
      <c r="B785" s="6"/>
      <c r="C785" s="6"/>
      <c r="D785" s="6"/>
      <c r="E785" s="6"/>
      <c r="F785" s="6"/>
      <c r="G785" s="6"/>
      <c r="H785" s="6"/>
    </row>
    <row r="786" spans="2:8" x14ac:dyDescent="0.25">
      <c r="B786" s="6"/>
      <c r="C786" s="6"/>
      <c r="D786" s="6"/>
      <c r="E786" s="6"/>
      <c r="F786" s="6"/>
      <c r="G786" s="6"/>
      <c r="H786" s="6"/>
    </row>
    <row r="787" spans="2:8" x14ac:dyDescent="0.25">
      <c r="B787" s="6"/>
      <c r="C787" s="6"/>
      <c r="D787" s="6"/>
      <c r="E787" s="6"/>
      <c r="F787" s="6"/>
      <c r="G787" s="6"/>
      <c r="H787" s="6"/>
    </row>
    <row r="788" spans="2:8" x14ac:dyDescent="0.25">
      <c r="B788" s="6"/>
      <c r="C788" s="6"/>
      <c r="D788" s="6"/>
      <c r="E788" s="6"/>
      <c r="F788" s="6"/>
      <c r="G788" s="6"/>
      <c r="H788" s="6"/>
    </row>
    <row r="789" spans="2:8" x14ac:dyDescent="0.25">
      <c r="B789" s="6"/>
      <c r="C789" s="6"/>
      <c r="D789" s="6"/>
      <c r="E789" s="6"/>
      <c r="F789" s="6"/>
      <c r="G789" s="6"/>
      <c r="H789" s="6"/>
    </row>
    <row r="790" spans="2:8" x14ac:dyDescent="0.25">
      <c r="B790" s="6"/>
      <c r="C790" s="6"/>
      <c r="D790" s="6"/>
      <c r="E790" s="6"/>
      <c r="F790" s="6"/>
      <c r="G790" s="6"/>
      <c r="H790" s="6"/>
    </row>
    <row r="791" spans="2:8" x14ac:dyDescent="0.25">
      <c r="B791" s="6"/>
      <c r="C791" s="6"/>
      <c r="D791" s="6"/>
      <c r="E791" s="6"/>
      <c r="F791" s="6"/>
      <c r="G791" s="6"/>
      <c r="H791" s="6"/>
    </row>
    <row r="792" spans="2:8" x14ac:dyDescent="0.25">
      <c r="B792" s="6"/>
      <c r="C792" s="6"/>
      <c r="D792" s="6"/>
      <c r="E792" s="6"/>
      <c r="F792" s="6"/>
      <c r="G792" s="6"/>
      <c r="H792" s="6"/>
    </row>
    <row r="793" spans="2:8" x14ac:dyDescent="0.25">
      <c r="B793" s="6"/>
      <c r="C793" s="6"/>
      <c r="D793" s="6"/>
      <c r="E793" s="6"/>
      <c r="F793" s="6"/>
      <c r="G793" s="6"/>
      <c r="H793" s="6"/>
    </row>
    <row r="794" spans="2:8" x14ac:dyDescent="0.25">
      <c r="B794" s="6"/>
      <c r="C794" s="6"/>
      <c r="D794" s="6"/>
      <c r="E794" s="6"/>
      <c r="F794" s="6"/>
      <c r="G794" s="6"/>
      <c r="H794" s="6"/>
    </row>
    <row r="795" spans="2:8" x14ac:dyDescent="0.25">
      <c r="B795" s="6"/>
      <c r="C795" s="6"/>
      <c r="D795" s="6"/>
      <c r="E795" s="6"/>
      <c r="F795" s="6"/>
      <c r="G795" s="6"/>
      <c r="H795" s="6"/>
    </row>
    <row r="796" spans="2:8" x14ac:dyDescent="0.25">
      <c r="B796" s="6"/>
      <c r="C796" s="6"/>
      <c r="D796" s="6"/>
      <c r="E796" s="6"/>
      <c r="F796" s="6"/>
      <c r="G796" s="6"/>
      <c r="H796" s="6"/>
    </row>
    <row r="797" spans="2:8" x14ac:dyDescent="0.25">
      <c r="B797" s="6"/>
      <c r="C797" s="6"/>
      <c r="D797" s="6"/>
      <c r="E797" s="6"/>
      <c r="F797" s="6"/>
      <c r="G797" s="6"/>
      <c r="H797" s="6"/>
    </row>
    <row r="798" spans="2:8" x14ac:dyDescent="0.25">
      <c r="B798" s="6"/>
      <c r="C798" s="6"/>
      <c r="D798" s="6"/>
      <c r="E798" s="6"/>
      <c r="F798" s="6"/>
      <c r="G798" s="6"/>
      <c r="H798" s="6"/>
    </row>
    <row r="799" spans="2:8" x14ac:dyDescent="0.25">
      <c r="B799" s="6"/>
      <c r="C799" s="6"/>
      <c r="D799" s="6"/>
      <c r="E799" s="6"/>
      <c r="F799" s="6"/>
      <c r="G799" s="6"/>
      <c r="H799" s="6"/>
    </row>
    <row r="800" spans="2:8" x14ac:dyDescent="0.25">
      <c r="B800" s="6"/>
      <c r="C800" s="6"/>
      <c r="D800" s="6"/>
      <c r="E800" s="6"/>
      <c r="F800" s="6"/>
      <c r="G800" s="6"/>
      <c r="H800" s="6"/>
    </row>
    <row r="801" spans="2:8" x14ac:dyDescent="0.25">
      <c r="B801" s="6"/>
      <c r="C801" s="6"/>
      <c r="D801" s="6"/>
      <c r="E801" s="6"/>
      <c r="F801" s="6"/>
      <c r="G801" s="6"/>
      <c r="H801" s="6"/>
    </row>
    <row r="802" spans="2:8" x14ac:dyDescent="0.25">
      <c r="B802" s="6"/>
      <c r="C802" s="6"/>
      <c r="D802" s="6"/>
      <c r="E802" s="6"/>
      <c r="F802" s="6"/>
      <c r="G802" s="6"/>
      <c r="H802" s="6"/>
    </row>
    <row r="803" spans="2:8" x14ac:dyDescent="0.25">
      <c r="B803" s="6"/>
      <c r="C803" s="6"/>
      <c r="D803" s="6"/>
      <c r="E803" s="6"/>
      <c r="F803" s="6"/>
      <c r="G803" s="6"/>
      <c r="H803" s="6"/>
    </row>
    <row r="804" spans="2:8" x14ac:dyDescent="0.25">
      <c r="B804" s="6"/>
      <c r="C804" s="6"/>
      <c r="D804" s="6"/>
      <c r="E804" s="6"/>
      <c r="F804" s="6"/>
      <c r="G804" s="6"/>
      <c r="H804" s="6"/>
    </row>
    <row r="805" spans="2:8" x14ac:dyDescent="0.25">
      <c r="B805" s="6"/>
      <c r="C805" s="6"/>
      <c r="D805" s="6"/>
      <c r="E805" s="6"/>
      <c r="F805" s="6"/>
      <c r="G805" s="6"/>
      <c r="H805" s="6"/>
    </row>
    <row r="806" spans="2:8" x14ac:dyDescent="0.25">
      <c r="B806" s="6"/>
      <c r="C806" s="6"/>
      <c r="D806" s="6"/>
      <c r="E806" s="6"/>
      <c r="F806" s="6"/>
      <c r="G806" s="6"/>
      <c r="H806" s="6"/>
    </row>
    <row r="807" spans="2:8" x14ac:dyDescent="0.25">
      <c r="B807" s="6"/>
      <c r="C807" s="6"/>
      <c r="D807" s="6"/>
      <c r="E807" s="6"/>
      <c r="F807" s="6"/>
      <c r="G807" s="6"/>
      <c r="H807" s="6"/>
    </row>
    <row r="808" spans="2:8" x14ac:dyDescent="0.25">
      <c r="B808" s="6"/>
      <c r="C808" s="6"/>
      <c r="D808" s="6"/>
      <c r="E808" s="6"/>
      <c r="F808" s="6"/>
      <c r="G808" s="6"/>
      <c r="H808" s="6"/>
    </row>
    <row r="809" spans="2:8" x14ac:dyDescent="0.25">
      <c r="B809" s="6"/>
      <c r="C809" s="6"/>
      <c r="D809" s="6"/>
      <c r="E809" s="6"/>
      <c r="F809" s="6"/>
      <c r="G809" s="6"/>
      <c r="H809" s="6"/>
    </row>
    <row r="810" spans="2:8" x14ac:dyDescent="0.25">
      <c r="B810" s="6"/>
      <c r="C810" s="6"/>
      <c r="D810" s="6"/>
      <c r="E810" s="6"/>
      <c r="F810" s="6"/>
      <c r="G810" s="6"/>
      <c r="H810" s="6"/>
    </row>
    <row r="811" spans="2:8" x14ac:dyDescent="0.25">
      <c r="B811" s="6"/>
      <c r="C811" s="6"/>
      <c r="D811" s="6"/>
      <c r="E811" s="6"/>
      <c r="F811" s="6"/>
      <c r="G811" s="6"/>
      <c r="H811" s="6"/>
    </row>
    <row r="812" spans="2:8" x14ac:dyDescent="0.25">
      <c r="B812" s="6"/>
      <c r="C812" s="6"/>
      <c r="D812" s="6"/>
      <c r="E812" s="6"/>
      <c r="F812" s="6"/>
      <c r="G812" s="6"/>
      <c r="H812" s="6"/>
    </row>
    <row r="813" spans="2:8" x14ac:dyDescent="0.25">
      <c r="B813" s="6"/>
      <c r="C813" s="6"/>
      <c r="D813" s="6"/>
      <c r="E813" s="6"/>
      <c r="F813" s="6"/>
      <c r="G813" s="6"/>
      <c r="H813" s="6"/>
    </row>
    <row r="814" spans="2:8" x14ac:dyDescent="0.25">
      <c r="B814" s="6"/>
      <c r="C814" s="6"/>
      <c r="D814" s="6"/>
      <c r="E814" s="6"/>
      <c r="F814" s="6"/>
      <c r="G814" s="6"/>
      <c r="H814" s="6"/>
    </row>
    <row r="815" spans="2:8" x14ac:dyDescent="0.25">
      <c r="B815" s="6"/>
      <c r="C815" s="6"/>
      <c r="D815" s="6"/>
      <c r="E815" s="6"/>
      <c r="F815" s="6"/>
      <c r="G815" s="6"/>
      <c r="H815" s="6"/>
    </row>
    <row r="816" spans="2:8" x14ac:dyDescent="0.25">
      <c r="B816" s="6"/>
      <c r="C816" s="6"/>
      <c r="D816" s="6"/>
      <c r="E816" s="6"/>
      <c r="F816" s="6"/>
      <c r="G816" s="6"/>
      <c r="H816" s="6"/>
    </row>
    <row r="817" spans="2:8" x14ac:dyDescent="0.25">
      <c r="B817" s="6"/>
      <c r="C817" s="6"/>
      <c r="D817" s="6"/>
      <c r="E817" s="6"/>
      <c r="F817" s="6"/>
      <c r="G817" s="6"/>
      <c r="H817" s="6"/>
    </row>
    <row r="818" spans="2:8" x14ac:dyDescent="0.25">
      <c r="B818" s="6"/>
      <c r="C818" s="6"/>
      <c r="D818" s="6"/>
      <c r="E818" s="6"/>
      <c r="F818" s="6"/>
      <c r="G818" s="6"/>
      <c r="H818" s="6"/>
    </row>
    <row r="819" spans="2:8" x14ac:dyDescent="0.25">
      <c r="B819" s="6"/>
      <c r="C819" s="6"/>
      <c r="D819" s="6"/>
      <c r="E819" s="6"/>
      <c r="F819" s="6"/>
      <c r="G819" s="6"/>
      <c r="H819" s="6"/>
    </row>
    <row r="820" spans="2:8" x14ac:dyDescent="0.25">
      <c r="B820" s="6"/>
      <c r="C820" s="6"/>
      <c r="D820" s="6"/>
      <c r="E820" s="6"/>
      <c r="F820" s="6"/>
      <c r="G820" s="6"/>
      <c r="H820" s="6"/>
    </row>
    <row r="821" spans="2:8" x14ac:dyDescent="0.25">
      <c r="B821" s="6"/>
      <c r="C821" s="6"/>
      <c r="D821" s="6"/>
      <c r="E821" s="6"/>
      <c r="F821" s="6"/>
      <c r="G821" s="6"/>
      <c r="H821" s="6"/>
    </row>
    <row r="822" spans="2:8" x14ac:dyDescent="0.25">
      <c r="B822" s="6"/>
      <c r="C822" s="6"/>
      <c r="D822" s="6"/>
      <c r="E822" s="6"/>
      <c r="F822" s="6"/>
      <c r="G822" s="6"/>
      <c r="H822" s="6"/>
    </row>
    <row r="823" spans="2:8" x14ac:dyDescent="0.25">
      <c r="B823" s="6"/>
      <c r="C823" s="6"/>
      <c r="D823" s="6"/>
      <c r="E823" s="6"/>
      <c r="F823" s="6"/>
      <c r="G823" s="6"/>
      <c r="H823" s="6"/>
    </row>
    <row r="824" spans="2:8" x14ac:dyDescent="0.25">
      <c r="B824" s="6"/>
      <c r="C824" s="6"/>
      <c r="D824" s="6"/>
      <c r="E824" s="6"/>
      <c r="F824" s="6"/>
      <c r="G824" s="6"/>
      <c r="H824" s="6"/>
    </row>
    <row r="825" spans="2:8" x14ac:dyDescent="0.25">
      <c r="B825" s="6"/>
      <c r="C825" s="6"/>
      <c r="D825" s="6"/>
      <c r="E825" s="6"/>
      <c r="F825" s="6"/>
      <c r="G825" s="6"/>
      <c r="H825" s="6"/>
    </row>
    <row r="826" spans="2:8" x14ac:dyDescent="0.25">
      <c r="B826" s="6"/>
      <c r="C826" s="6"/>
      <c r="D826" s="6"/>
      <c r="E826" s="6"/>
      <c r="F826" s="6"/>
      <c r="G826" s="6"/>
      <c r="H826" s="6"/>
    </row>
    <row r="827" spans="2:8" x14ac:dyDescent="0.25">
      <c r="B827" s="6"/>
      <c r="C827" s="6"/>
      <c r="D827" s="6"/>
      <c r="E827" s="6"/>
      <c r="F827" s="6"/>
      <c r="G827" s="6"/>
      <c r="H827" s="6"/>
    </row>
    <row r="828" spans="2:8" x14ac:dyDescent="0.25">
      <c r="B828" s="6"/>
      <c r="C828" s="6"/>
      <c r="D828" s="6"/>
      <c r="E828" s="6"/>
      <c r="F828" s="6"/>
      <c r="G828" s="6"/>
      <c r="H828" s="6"/>
    </row>
    <row r="829" spans="2:8" x14ac:dyDescent="0.25">
      <c r="B829" s="6"/>
      <c r="C829" s="6"/>
      <c r="D829" s="6"/>
      <c r="E829" s="6"/>
      <c r="F829" s="6"/>
      <c r="G829" s="6"/>
      <c r="H829" s="6"/>
    </row>
    <row r="830" spans="2:8" x14ac:dyDescent="0.25">
      <c r="B830" s="6"/>
      <c r="C830" s="6"/>
      <c r="D830" s="6"/>
      <c r="E830" s="6"/>
      <c r="F830" s="6"/>
      <c r="G830" s="6"/>
      <c r="H830" s="6"/>
    </row>
    <row r="831" spans="2:8" x14ac:dyDescent="0.25">
      <c r="B831" s="6"/>
      <c r="C831" s="6"/>
      <c r="D831" s="6"/>
      <c r="E831" s="6"/>
      <c r="F831" s="6"/>
      <c r="G831" s="6"/>
      <c r="H831" s="6"/>
    </row>
    <row r="832" spans="2:8" x14ac:dyDescent="0.25">
      <c r="B832" s="6"/>
      <c r="C832" s="6"/>
      <c r="D832" s="6"/>
      <c r="E832" s="6"/>
      <c r="F832" s="6"/>
      <c r="G832" s="6"/>
      <c r="H832" s="6"/>
    </row>
    <row r="833" spans="2:8" x14ac:dyDescent="0.25">
      <c r="B833" s="6"/>
      <c r="C833" s="6"/>
      <c r="D833" s="6"/>
      <c r="E833" s="6"/>
      <c r="F833" s="6"/>
      <c r="G833" s="6"/>
      <c r="H833" s="6"/>
    </row>
    <row r="834" spans="2:8" x14ac:dyDescent="0.25">
      <c r="B834" s="6"/>
      <c r="C834" s="6"/>
      <c r="D834" s="6"/>
      <c r="E834" s="6"/>
      <c r="F834" s="6"/>
      <c r="G834" s="6"/>
      <c r="H834" s="6"/>
    </row>
    <row r="835" spans="2:8" x14ac:dyDescent="0.25">
      <c r="B835" s="6"/>
      <c r="C835" s="6"/>
      <c r="D835" s="6"/>
      <c r="E835" s="6"/>
      <c r="F835" s="6"/>
      <c r="G835" s="6"/>
      <c r="H835" s="6"/>
    </row>
    <row r="836" spans="2:8" x14ac:dyDescent="0.25">
      <c r="B836" s="6"/>
      <c r="C836" s="6"/>
      <c r="D836" s="6"/>
      <c r="E836" s="6"/>
      <c r="F836" s="6"/>
      <c r="G836" s="6"/>
      <c r="H836" s="6"/>
    </row>
    <row r="837" spans="2:8" x14ac:dyDescent="0.25">
      <c r="B837" s="6"/>
      <c r="C837" s="6"/>
      <c r="D837" s="6"/>
      <c r="E837" s="6"/>
      <c r="F837" s="6"/>
      <c r="G837" s="6"/>
      <c r="H837" s="6"/>
    </row>
    <row r="838" spans="2:8" x14ac:dyDescent="0.25">
      <c r="B838" s="6"/>
      <c r="C838" s="6"/>
      <c r="D838" s="6"/>
      <c r="E838" s="6"/>
      <c r="F838" s="6"/>
      <c r="G838" s="6"/>
      <c r="H838" s="6"/>
    </row>
    <row r="839" spans="2:8" x14ac:dyDescent="0.25">
      <c r="B839" s="6"/>
      <c r="C839" s="6"/>
      <c r="D839" s="6"/>
      <c r="E839" s="6"/>
      <c r="F839" s="6"/>
      <c r="G839" s="6"/>
      <c r="H839" s="6"/>
    </row>
    <row r="840" spans="2:8" x14ac:dyDescent="0.25">
      <c r="B840" s="6"/>
      <c r="C840" s="6"/>
      <c r="D840" s="6"/>
      <c r="E840" s="6"/>
      <c r="F840" s="6"/>
      <c r="G840" s="6"/>
      <c r="H840" s="6"/>
    </row>
    <row r="841" spans="2:8" x14ac:dyDescent="0.25">
      <c r="B841" s="6"/>
      <c r="C841" s="6"/>
      <c r="D841" s="6"/>
      <c r="E841" s="6"/>
      <c r="F841" s="6"/>
      <c r="G841" s="6"/>
      <c r="H841" s="6"/>
    </row>
    <row r="842" spans="2:8" x14ac:dyDescent="0.25">
      <c r="B842" s="6"/>
      <c r="C842" s="6"/>
      <c r="D842" s="6"/>
      <c r="E842" s="6"/>
      <c r="F842" s="6"/>
      <c r="G842" s="6"/>
      <c r="H842" s="6"/>
    </row>
    <row r="843" spans="2:8" x14ac:dyDescent="0.25">
      <c r="B843" s="6"/>
      <c r="C843" s="6"/>
      <c r="D843" s="6"/>
      <c r="E843" s="6"/>
      <c r="F843" s="6"/>
      <c r="G843" s="6"/>
      <c r="H843" s="6"/>
    </row>
    <row r="844" spans="2:8" x14ac:dyDescent="0.25">
      <c r="B844" s="6"/>
      <c r="C844" s="6"/>
      <c r="D844" s="6"/>
      <c r="E844" s="6"/>
      <c r="F844" s="6"/>
      <c r="G844" s="6"/>
      <c r="H844" s="6"/>
    </row>
    <row r="845" spans="2:8" x14ac:dyDescent="0.25">
      <c r="B845" s="6"/>
      <c r="C845" s="6"/>
      <c r="D845" s="6"/>
      <c r="E845" s="6"/>
      <c r="F845" s="6"/>
      <c r="G845" s="6"/>
      <c r="H845" s="6"/>
    </row>
    <row r="846" spans="2:8" x14ac:dyDescent="0.25">
      <c r="B846" s="6"/>
      <c r="C846" s="6"/>
      <c r="D846" s="6"/>
      <c r="E846" s="6"/>
      <c r="F846" s="6"/>
      <c r="G846" s="6"/>
      <c r="H846" s="6"/>
    </row>
    <row r="847" spans="2:8" x14ac:dyDescent="0.25">
      <c r="B847" s="6"/>
      <c r="C847" s="6"/>
      <c r="D847" s="6"/>
      <c r="E847" s="6"/>
      <c r="F847" s="6"/>
      <c r="G847" s="6"/>
      <c r="H847" s="6"/>
    </row>
    <row r="848" spans="2:8" x14ac:dyDescent="0.25">
      <c r="B848" s="6"/>
      <c r="C848" s="6"/>
      <c r="D848" s="6"/>
      <c r="E848" s="6"/>
      <c r="F848" s="6"/>
      <c r="G848" s="6"/>
      <c r="H848" s="6"/>
    </row>
    <row r="849" spans="2:8" x14ac:dyDescent="0.25">
      <c r="B849" s="6"/>
      <c r="C849" s="6"/>
      <c r="D849" s="6"/>
      <c r="E849" s="6"/>
      <c r="F849" s="6"/>
      <c r="G849" s="6"/>
      <c r="H849" s="6"/>
    </row>
    <row r="850" spans="2:8" x14ac:dyDescent="0.25">
      <c r="B850" s="6"/>
      <c r="C850" s="6"/>
      <c r="D850" s="6"/>
      <c r="E850" s="6"/>
      <c r="F850" s="6"/>
      <c r="G850" s="6"/>
      <c r="H850" s="6"/>
    </row>
    <row r="851" spans="2:8" x14ac:dyDescent="0.25">
      <c r="B851" s="6"/>
      <c r="C851" s="6"/>
      <c r="D851" s="6"/>
      <c r="E851" s="6"/>
      <c r="F851" s="6"/>
      <c r="G851" s="6"/>
      <c r="H851" s="6"/>
    </row>
    <row r="852" spans="2:8" x14ac:dyDescent="0.25">
      <c r="B852" s="6"/>
      <c r="C852" s="6"/>
      <c r="D852" s="6"/>
      <c r="E852" s="6"/>
      <c r="F852" s="6"/>
      <c r="G852" s="6"/>
      <c r="H852" s="6"/>
    </row>
    <row r="853" spans="2:8" x14ac:dyDescent="0.25">
      <c r="B853" s="6"/>
      <c r="C853" s="6"/>
      <c r="D853" s="6"/>
      <c r="E853" s="6"/>
      <c r="F853" s="6"/>
      <c r="G853" s="6"/>
      <c r="H853" s="6"/>
    </row>
    <row r="854" spans="2:8" x14ac:dyDescent="0.25">
      <c r="B854" s="6"/>
      <c r="C854" s="6"/>
      <c r="D854" s="6"/>
      <c r="E854" s="6"/>
      <c r="F854" s="6"/>
      <c r="G854" s="6"/>
      <c r="H854" s="6"/>
    </row>
    <row r="855" spans="2:8" x14ac:dyDescent="0.25">
      <c r="B855" s="6"/>
      <c r="C855" s="6"/>
      <c r="D855" s="6"/>
      <c r="E855" s="6"/>
      <c r="F855" s="6"/>
      <c r="G855" s="6"/>
      <c r="H855" s="6"/>
    </row>
    <row r="856" spans="2:8" x14ac:dyDescent="0.25">
      <c r="B856" s="6"/>
      <c r="C856" s="6"/>
      <c r="D856" s="6"/>
      <c r="E856" s="6"/>
      <c r="F856" s="6"/>
      <c r="G856" s="6"/>
      <c r="H856" s="6"/>
    </row>
    <row r="857" spans="2:8" x14ac:dyDescent="0.25">
      <c r="B857" s="6"/>
      <c r="C857" s="6"/>
      <c r="D857" s="6"/>
      <c r="E857" s="6"/>
      <c r="F857" s="6"/>
      <c r="G857" s="6"/>
      <c r="H857" s="6"/>
    </row>
    <row r="858" spans="2:8" x14ac:dyDescent="0.25">
      <c r="B858" s="6"/>
      <c r="C858" s="6"/>
      <c r="D858" s="6"/>
      <c r="E858" s="6"/>
      <c r="F858" s="6"/>
      <c r="G858" s="6"/>
      <c r="H858" s="6"/>
    </row>
    <row r="859" spans="2:8" x14ac:dyDescent="0.25">
      <c r="B859" s="6"/>
      <c r="C859" s="6"/>
      <c r="D859" s="6"/>
      <c r="E859" s="6"/>
      <c r="F859" s="6"/>
      <c r="G859" s="6"/>
      <c r="H859" s="6"/>
    </row>
    <row r="860" spans="2:8" x14ac:dyDescent="0.25">
      <c r="B860" s="6"/>
      <c r="C860" s="6"/>
      <c r="D860" s="6"/>
      <c r="E860" s="6"/>
      <c r="F860" s="6"/>
      <c r="G860" s="6"/>
      <c r="H860" s="6"/>
    </row>
    <row r="861" spans="2:8" x14ac:dyDescent="0.25">
      <c r="B861" s="6"/>
      <c r="C861" s="6"/>
      <c r="D861" s="6"/>
      <c r="E861" s="6"/>
      <c r="F861" s="6"/>
      <c r="G861" s="6"/>
      <c r="H861" s="6"/>
    </row>
    <row r="862" spans="2:8" x14ac:dyDescent="0.25">
      <c r="B862" s="6"/>
      <c r="C862" s="6"/>
      <c r="D862" s="6"/>
      <c r="E862" s="6"/>
      <c r="F862" s="6"/>
      <c r="G862" s="6"/>
      <c r="H862" s="6"/>
    </row>
    <row r="863" spans="2:8" x14ac:dyDescent="0.25">
      <c r="B863" s="6"/>
      <c r="C863" s="6"/>
      <c r="D863" s="6"/>
      <c r="E863" s="6"/>
      <c r="F863" s="6"/>
      <c r="G863" s="6"/>
      <c r="H863" s="6"/>
    </row>
    <row r="864" spans="2:8" x14ac:dyDescent="0.25">
      <c r="B864" s="6"/>
      <c r="C864" s="6"/>
      <c r="D864" s="6"/>
      <c r="E864" s="6"/>
      <c r="F864" s="6"/>
      <c r="G864" s="6"/>
      <c r="H864" s="6"/>
    </row>
    <row r="865" spans="2:8" x14ac:dyDescent="0.25">
      <c r="B865" s="6"/>
      <c r="C865" s="6"/>
      <c r="D865" s="6"/>
      <c r="E865" s="6"/>
      <c r="F865" s="6"/>
      <c r="G865" s="6"/>
      <c r="H865" s="6"/>
    </row>
    <row r="866" spans="2:8" x14ac:dyDescent="0.25">
      <c r="B866" s="6"/>
      <c r="C866" s="6"/>
      <c r="D866" s="6"/>
      <c r="E866" s="6"/>
      <c r="F866" s="6"/>
      <c r="G866" s="6"/>
      <c r="H866" s="6"/>
    </row>
    <row r="867" spans="2:8" x14ac:dyDescent="0.25">
      <c r="B867" s="6"/>
      <c r="C867" s="6"/>
      <c r="D867" s="6"/>
      <c r="E867" s="6"/>
      <c r="F867" s="6"/>
      <c r="G867" s="6"/>
      <c r="H867" s="6"/>
    </row>
    <row r="868" spans="2:8" x14ac:dyDescent="0.25">
      <c r="B868" s="6"/>
      <c r="C868" s="6"/>
      <c r="D868" s="6"/>
      <c r="E868" s="6"/>
      <c r="F868" s="6"/>
      <c r="G868" s="6"/>
      <c r="H868" s="6"/>
    </row>
    <row r="869" spans="2:8" x14ac:dyDescent="0.25">
      <c r="B869" s="6"/>
      <c r="C869" s="6"/>
      <c r="D869" s="6"/>
      <c r="E869" s="6"/>
      <c r="F869" s="6"/>
      <c r="G869" s="6"/>
      <c r="H869" s="6"/>
    </row>
    <row r="870" spans="2:8" x14ac:dyDescent="0.25">
      <c r="B870" s="6"/>
      <c r="C870" s="6"/>
      <c r="D870" s="6"/>
      <c r="E870" s="6"/>
      <c r="F870" s="6"/>
      <c r="G870" s="6"/>
      <c r="H870" s="6"/>
    </row>
    <row r="871" spans="2:8" x14ac:dyDescent="0.25">
      <c r="B871" s="6"/>
      <c r="C871" s="6"/>
      <c r="D871" s="6"/>
      <c r="E871" s="6"/>
      <c r="F871" s="6"/>
      <c r="G871" s="6"/>
      <c r="H871" s="6"/>
    </row>
    <row r="872" spans="2:8" x14ac:dyDescent="0.25">
      <c r="B872" s="6"/>
      <c r="C872" s="6"/>
      <c r="D872" s="6"/>
      <c r="E872" s="6"/>
      <c r="F872" s="6"/>
      <c r="G872" s="6"/>
      <c r="H872" s="6"/>
    </row>
    <row r="873" spans="2:8" x14ac:dyDescent="0.25">
      <c r="B873" s="6"/>
      <c r="C873" s="6"/>
      <c r="D873" s="6"/>
      <c r="E873" s="6"/>
      <c r="F873" s="6"/>
      <c r="G873" s="6"/>
      <c r="H873" s="6"/>
    </row>
    <row r="874" spans="2:8" x14ac:dyDescent="0.25">
      <c r="B874" s="6"/>
      <c r="C874" s="6"/>
      <c r="D874" s="6"/>
      <c r="E874" s="6"/>
      <c r="F874" s="6"/>
      <c r="G874" s="6"/>
      <c r="H874" s="6"/>
    </row>
    <row r="875" spans="2:8" x14ac:dyDescent="0.25">
      <c r="B875" s="6"/>
      <c r="C875" s="6"/>
      <c r="D875" s="6"/>
      <c r="E875" s="6"/>
      <c r="F875" s="6"/>
      <c r="G875" s="6"/>
      <c r="H875" s="6"/>
    </row>
    <row r="876" spans="2:8" x14ac:dyDescent="0.25">
      <c r="B876" s="6"/>
      <c r="C876" s="6"/>
      <c r="D876" s="6"/>
      <c r="E876" s="6"/>
      <c r="F876" s="6"/>
      <c r="G876" s="6"/>
      <c r="H876" s="6"/>
    </row>
    <row r="877" spans="2:8" x14ac:dyDescent="0.25">
      <c r="B877" s="6"/>
      <c r="C877" s="6"/>
      <c r="D877" s="6"/>
      <c r="E877" s="6"/>
      <c r="F877" s="6"/>
      <c r="G877" s="6"/>
      <c r="H877" s="6"/>
    </row>
    <row r="878" spans="2:8" x14ac:dyDescent="0.25">
      <c r="B878" s="6"/>
      <c r="C878" s="6"/>
      <c r="D878" s="6"/>
      <c r="E878" s="6"/>
      <c r="F878" s="6"/>
      <c r="G878" s="6"/>
      <c r="H878" s="6"/>
    </row>
    <row r="879" spans="2:8" x14ac:dyDescent="0.25">
      <c r="B879" s="6"/>
      <c r="C879" s="6"/>
      <c r="D879" s="6"/>
      <c r="E879" s="6"/>
      <c r="F879" s="6"/>
      <c r="G879" s="6"/>
      <c r="H879" s="6"/>
    </row>
    <row r="880" spans="2:8" x14ac:dyDescent="0.25">
      <c r="B880" s="6"/>
      <c r="C880" s="6"/>
      <c r="D880" s="6"/>
      <c r="E880" s="6"/>
      <c r="F880" s="6"/>
      <c r="G880" s="6"/>
      <c r="H880" s="6"/>
    </row>
    <row r="881" spans="2:8" x14ac:dyDescent="0.25">
      <c r="B881" s="6"/>
      <c r="C881" s="6"/>
      <c r="D881" s="6"/>
      <c r="E881" s="6"/>
      <c r="F881" s="6"/>
      <c r="G881" s="6"/>
      <c r="H881" s="6"/>
    </row>
    <row r="882" spans="2:8" x14ac:dyDescent="0.25">
      <c r="B882" s="6"/>
      <c r="C882" s="6"/>
      <c r="D882" s="6"/>
      <c r="E882" s="6"/>
      <c r="F882" s="6"/>
      <c r="G882" s="6"/>
      <c r="H882" s="6"/>
    </row>
    <row r="883" spans="2:8" x14ac:dyDescent="0.25">
      <c r="B883" s="6"/>
      <c r="C883" s="6"/>
      <c r="D883" s="6"/>
      <c r="E883" s="6"/>
      <c r="F883" s="6"/>
      <c r="G883" s="6"/>
      <c r="H883" s="6"/>
    </row>
    <row r="884" spans="2:8" x14ac:dyDescent="0.25">
      <c r="B884" s="6"/>
      <c r="C884" s="6"/>
      <c r="D884" s="6"/>
      <c r="E884" s="6"/>
      <c r="F884" s="6"/>
      <c r="G884" s="6"/>
      <c r="H884" s="6"/>
    </row>
    <row r="885" spans="2:8" x14ac:dyDescent="0.25">
      <c r="B885" s="6"/>
      <c r="C885" s="6"/>
      <c r="D885" s="6"/>
      <c r="E885" s="6"/>
      <c r="F885" s="6"/>
      <c r="G885" s="6"/>
      <c r="H885" s="6"/>
    </row>
    <row r="886" spans="2:8" x14ac:dyDescent="0.25">
      <c r="B886" s="6"/>
      <c r="C886" s="6"/>
      <c r="D886" s="6"/>
      <c r="E886" s="6"/>
      <c r="F886" s="6"/>
      <c r="G886" s="6"/>
      <c r="H886" s="6"/>
    </row>
    <row r="887" spans="2:8" x14ac:dyDescent="0.25">
      <c r="B887" s="6"/>
      <c r="C887" s="6"/>
      <c r="D887" s="6"/>
      <c r="E887" s="6"/>
      <c r="F887" s="6"/>
      <c r="G887" s="6"/>
      <c r="H887" s="6"/>
    </row>
    <row r="888" spans="2:8" x14ac:dyDescent="0.25">
      <c r="B888" s="6"/>
      <c r="C888" s="6"/>
      <c r="D888" s="6"/>
      <c r="E888" s="6"/>
      <c r="F888" s="6"/>
      <c r="G888" s="6"/>
      <c r="H888" s="6"/>
    </row>
    <row r="889" spans="2:8" x14ac:dyDescent="0.25">
      <c r="B889" s="6"/>
      <c r="C889" s="6"/>
      <c r="D889" s="6"/>
      <c r="E889" s="6"/>
      <c r="F889" s="6"/>
      <c r="G889" s="6"/>
      <c r="H889" s="6"/>
    </row>
    <row r="890" spans="2:8" x14ac:dyDescent="0.25">
      <c r="B890" s="6"/>
      <c r="C890" s="6"/>
      <c r="D890" s="6"/>
      <c r="E890" s="6"/>
      <c r="F890" s="6"/>
      <c r="G890" s="6"/>
      <c r="H890" s="6"/>
    </row>
    <row r="891" spans="2:8" x14ac:dyDescent="0.25">
      <c r="B891" s="6"/>
      <c r="C891" s="6"/>
      <c r="D891" s="6"/>
      <c r="E891" s="6"/>
      <c r="F891" s="6"/>
      <c r="G891" s="6"/>
      <c r="H891" s="6"/>
    </row>
    <row r="892" spans="2:8" x14ac:dyDescent="0.25">
      <c r="B892" s="6"/>
      <c r="C892" s="6"/>
      <c r="D892" s="6"/>
      <c r="E892" s="6"/>
      <c r="F892" s="6"/>
      <c r="G892" s="6"/>
      <c r="H892" s="6"/>
    </row>
    <row r="893" spans="2:8" x14ac:dyDescent="0.25">
      <c r="B893" s="6"/>
      <c r="C893" s="6"/>
      <c r="D893" s="6"/>
      <c r="E893" s="6"/>
      <c r="F893" s="6"/>
      <c r="G893" s="6"/>
      <c r="H893" s="6"/>
    </row>
    <row r="894" spans="2:8" x14ac:dyDescent="0.25">
      <c r="B894" s="6"/>
      <c r="C894" s="6"/>
      <c r="D894" s="6"/>
      <c r="E894" s="6"/>
      <c r="F894" s="6"/>
      <c r="G894" s="6"/>
      <c r="H894" s="6"/>
    </row>
    <row r="895" spans="2:8" x14ac:dyDescent="0.25">
      <c r="B895" s="6"/>
      <c r="C895" s="6"/>
      <c r="D895" s="6"/>
      <c r="E895" s="6"/>
      <c r="F895" s="6"/>
      <c r="G895" s="6"/>
      <c r="H895" s="6"/>
    </row>
    <row r="896" spans="2:8" x14ac:dyDescent="0.25">
      <c r="B896" s="6"/>
      <c r="C896" s="6"/>
      <c r="D896" s="6"/>
      <c r="E896" s="6"/>
      <c r="F896" s="6"/>
      <c r="G896" s="6"/>
      <c r="H896" s="6"/>
    </row>
    <row r="897" spans="2:8" x14ac:dyDescent="0.25">
      <c r="B897" s="6"/>
      <c r="C897" s="6"/>
      <c r="D897" s="6"/>
      <c r="E897" s="6"/>
      <c r="F897" s="6"/>
      <c r="G897" s="6"/>
      <c r="H897" s="6"/>
    </row>
    <row r="898" spans="2:8" x14ac:dyDescent="0.25">
      <c r="B898" s="6"/>
      <c r="C898" s="6"/>
      <c r="D898" s="6"/>
      <c r="E898" s="6"/>
      <c r="F898" s="6"/>
      <c r="G898" s="6"/>
      <c r="H898" s="6"/>
    </row>
    <row r="899" spans="2:8" x14ac:dyDescent="0.25">
      <c r="B899" s="6"/>
      <c r="C899" s="6"/>
      <c r="D899" s="6"/>
      <c r="E899" s="6"/>
      <c r="F899" s="6"/>
      <c r="G899" s="6"/>
      <c r="H899" s="6"/>
    </row>
    <row r="900" spans="2:8" x14ac:dyDescent="0.25">
      <c r="B900" s="6"/>
      <c r="C900" s="6"/>
      <c r="D900" s="6"/>
      <c r="E900" s="6"/>
      <c r="F900" s="6"/>
      <c r="G900" s="6"/>
      <c r="H900" s="6"/>
    </row>
    <row r="901" spans="2:8" x14ac:dyDescent="0.25">
      <c r="B901" s="6"/>
      <c r="C901" s="6"/>
      <c r="D901" s="6"/>
      <c r="E901" s="6"/>
      <c r="F901" s="6"/>
      <c r="G901" s="6"/>
      <c r="H901" s="6"/>
    </row>
    <row r="902" spans="2:8" x14ac:dyDescent="0.25">
      <c r="B902" s="6"/>
      <c r="C902" s="6"/>
      <c r="D902" s="6"/>
      <c r="E902" s="6"/>
      <c r="F902" s="6"/>
      <c r="G902" s="6"/>
      <c r="H902" s="6"/>
    </row>
    <row r="903" spans="2:8" x14ac:dyDescent="0.25">
      <c r="B903" s="6"/>
      <c r="C903" s="6"/>
      <c r="D903" s="6"/>
      <c r="E903" s="6"/>
      <c r="F903" s="6"/>
      <c r="G903" s="6"/>
      <c r="H903" s="6"/>
    </row>
    <row r="904" spans="2:8" x14ac:dyDescent="0.25">
      <c r="B904" s="6"/>
      <c r="C904" s="6"/>
      <c r="D904" s="6"/>
      <c r="E904" s="6"/>
      <c r="F904" s="6"/>
      <c r="G904" s="6"/>
      <c r="H904" s="6"/>
    </row>
    <row r="905" spans="2:8" x14ac:dyDescent="0.25">
      <c r="B905" s="6"/>
      <c r="C905" s="6"/>
      <c r="D905" s="6"/>
      <c r="E905" s="6"/>
      <c r="F905" s="6"/>
      <c r="G905" s="6"/>
      <c r="H905" s="6"/>
    </row>
    <row r="906" spans="2:8" x14ac:dyDescent="0.25">
      <c r="B906" s="6"/>
      <c r="C906" s="6"/>
      <c r="D906" s="6"/>
      <c r="E906" s="6"/>
      <c r="F906" s="6"/>
      <c r="G906" s="6"/>
      <c r="H906" s="6"/>
    </row>
    <row r="907" spans="2:8" x14ac:dyDescent="0.25">
      <c r="B907" s="6"/>
      <c r="C907" s="6"/>
      <c r="D907" s="6"/>
      <c r="E907" s="6"/>
      <c r="F907" s="6"/>
      <c r="G907" s="6"/>
      <c r="H907" s="6"/>
    </row>
    <row r="908" spans="2:8" x14ac:dyDescent="0.25">
      <c r="B908" s="6"/>
      <c r="C908" s="6"/>
      <c r="D908" s="6"/>
      <c r="E908" s="6"/>
      <c r="F908" s="6"/>
      <c r="G908" s="6"/>
      <c r="H908" s="6"/>
    </row>
    <row r="909" spans="2:8" x14ac:dyDescent="0.25">
      <c r="B909" s="6"/>
      <c r="C909" s="6"/>
      <c r="D909" s="6"/>
      <c r="E909" s="6"/>
      <c r="F909" s="6"/>
      <c r="G909" s="6"/>
      <c r="H909" s="6"/>
    </row>
    <row r="910" spans="2:8" x14ac:dyDescent="0.25">
      <c r="B910" s="6"/>
      <c r="C910" s="6"/>
      <c r="D910" s="6"/>
      <c r="E910" s="6"/>
      <c r="F910" s="6"/>
      <c r="G910" s="6"/>
      <c r="H910" s="6"/>
    </row>
    <row r="911" spans="2:8" x14ac:dyDescent="0.25">
      <c r="B911" s="6"/>
      <c r="C911" s="6"/>
      <c r="D911" s="6"/>
      <c r="E911" s="6"/>
      <c r="F911" s="6"/>
      <c r="G911" s="6"/>
      <c r="H911" s="6"/>
    </row>
    <row r="912" spans="2:8" x14ac:dyDescent="0.25">
      <c r="B912" s="6"/>
      <c r="C912" s="6"/>
      <c r="D912" s="6"/>
      <c r="E912" s="6"/>
      <c r="F912" s="6"/>
      <c r="G912" s="6"/>
      <c r="H912" s="6"/>
    </row>
    <row r="913" spans="2:8" x14ac:dyDescent="0.25">
      <c r="B913" s="6"/>
      <c r="C913" s="6"/>
      <c r="D913" s="6"/>
      <c r="E913" s="6"/>
      <c r="F913" s="6"/>
      <c r="G913" s="6"/>
      <c r="H913" s="6"/>
    </row>
    <row r="914" spans="2:8" x14ac:dyDescent="0.25">
      <c r="B914" s="6"/>
      <c r="C914" s="6"/>
      <c r="D914" s="6"/>
      <c r="E914" s="6"/>
      <c r="F914" s="6"/>
      <c r="G914" s="6"/>
      <c r="H914" s="6"/>
    </row>
    <row r="915" spans="2:8" x14ac:dyDescent="0.25">
      <c r="B915" s="6"/>
      <c r="C915" s="6"/>
      <c r="D915" s="6"/>
      <c r="E915" s="6"/>
      <c r="F915" s="6"/>
      <c r="G915" s="6"/>
      <c r="H915" s="6"/>
    </row>
    <row r="916" spans="2:8" x14ac:dyDescent="0.25">
      <c r="B916" s="6"/>
      <c r="C916" s="6"/>
      <c r="D916" s="6"/>
      <c r="E916" s="6"/>
      <c r="F916" s="6"/>
      <c r="G916" s="6"/>
      <c r="H916" s="6"/>
    </row>
    <row r="917" spans="2:8" x14ac:dyDescent="0.25">
      <c r="B917" s="6"/>
      <c r="C917" s="6"/>
      <c r="D917" s="6"/>
      <c r="E917" s="6"/>
      <c r="F917" s="6"/>
      <c r="G917" s="6"/>
      <c r="H917" s="6"/>
    </row>
    <row r="918" spans="2:8" x14ac:dyDescent="0.25">
      <c r="B918" s="6"/>
      <c r="C918" s="6"/>
      <c r="D918" s="6"/>
      <c r="E918" s="6"/>
      <c r="F918" s="6"/>
      <c r="G918" s="6"/>
      <c r="H918" s="6"/>
    </row>
    <row r="919" spans="2:8" x14ac:dyDescent="0.25">
      <c r="B919" s="6"/>
      <c r="C919" s="6"/>
      <c r="D919" s="6"/>
      <c r="E919" s="6"/>
      <c r="F919" s="6"/>
      <c r="G919" s="6"/>
      <c r="H919" s="6"/>
    </row>
    <row r="920" spans="2:8" x14ac:dyDescent="0.25">
      <c r="B920" s="6"/>
      <c r="C920" s="6"/>
      <c r="D920" s="6"/>
      <c r="E920" s="6"/>
      <c r="F920" s="6"/>
      <c r="G920" s="6"/>
      <c r="H920" s="6"/>
    </row>
    <row r="921" spans="2:8" x14ac:dyDescent="0.25">
      <c r="B921" s="6"/>
      <c r="C921" s="6"/>
      <c r="D921" s="6"/>
      <c r="E921" s="6"/>
      <c r="F921" s="6"/>
      <c r="G921" s="6"/>
      <c r="H921" s="6"/>
    </row>
    <row r="922" spans="2:8" x14ac:dyDescent="0.25">
      <c r="B922" s="6"/>
      <c r="C922" s="6"/>
      <c r="D922" s="6"/>
      <c r="E922" s="6"/>
      <c r="F922" s="6"/>
      <c r="G922" s="6"/>
      <c r="H922" s="6"/>
    </row>
    <row r="923" spans="2:8" x14ac:dyDescent="0.25">
      <c r="B923" s="6"/>
      <c r="C923" s="6"/>
      <c r="D923" s="6"/>
      <c r="E923" s="6"/>
      <c r="F923" s="6"/>
      <c r="G923" s="6"/>
      <c r="H923" s="6"/>
    </row>
    <row r="924" spans="2:8" x14ac:dyDescent="0.25">
      <c r="B924" s="6"/>
      <c r="C924" s="6"/>
      <c r="D924" s="6"/>
      <c r="E924" s="6"/>
      <c r="F924" s="6"/>
      <c r="G924" s="6"/>
      <c r="H924" s="6"/>
    </row>
    <row r="925" spans="2:8" x14ac:dyDescent="0.25">
      <c r="B925" s="6"/>
      <c r="C925" s="6"/>
      <c r="D925" s="6"/>
      <c r="E925" s="6"/>
      <c r="F925" s="6"/>
      <c r="G925" s="6"/>
      <c r="H925" s="6"/>
    </row>
    <row r="926" spans="2:8" x14ac:dyDescent="0.25">
      <c r="B926" s="6"/>
      <c r="C926" s="6"/>
      <c r="D926" s="6"/>
      <c r="E926" s="6"/>
      <c r="F926" s="6"/>
      <c r="G926" s="6"/>
      <c r="H926" s="6"/>
    </row>
    <row r="927" spans="2:8" x14ac:dyDescent="0.25">
      <c r="B927" s="6"/>
      <c r="C927" s="6"/>
      <c r="D927" s="6"/>
      <c r="E927" s="6"/>
      <c r="F927" s="6"/>
      <c r="G927" s="6"/>
      <c r="H927" s="6"/>
    </row>
    <row r="928" spans="2:8" x14ac:dyDescent="0.25">
      <c r="B928" s="6"/>
      <c r="C928" s="6"/>
      <c r="D928" s="6"/>
      <c r="E928" s="6"/>
      <c r="F928" s="6"/>
      <c r="G928" s="6"/>
      <c r="H928" s="6"/>
    </row>
    <row r="929" spans="2:8" x14ac:dyDescent="0.25">
      <c r="B929" s="6"/>
      <c r="C929" s="6"/>
      <c r="D929" s="6"/>
      <c r="E929" s="6"/>
      <c r="F929" s="6"/>
      <c r="G929" s="6"/>
      <c r="H929" s="6"/>
    </row>
    <row r="930" spans="2:8" x14ac:dyDescent="0.25">
      <c r="B930" s="6"/>
      <c r="C930" s="6"/>
      <c r="D930" s="6"/>
      <c r="E930" s="6"/>
      <c r="F930" s="6"/>
      <c r="G930" s="6"/>
      <c r="H930" s="6"/>
    </row>
    <row r="931" spans="2:8" x14ac:dyDescent="0.25">
      <c r="B931" s="6"/>
      <c r="C931" s="6"/>
      <c r="D931" s="6"/>
      <c r="E931" s="6"/>
      <c r="F931" s="6"/>
      <c r="G931" s="6"/>
      <c r="H931" s="6"/>
    </row>
    <row r="932" spans="2:8" x14ac:dyDescent="0.25">
      <c r="B932" s="6"/>
      <c r="C932" s="6"/>
      <c r="D932" s="6"/>
      <c r="E932" s="6"/>
      <c r="F932" s="6"/>
      <c r="G932" s="6"/>
      <c r="H932" s="6"/>
    </row>
    <row r="933" spans="2:8" x14ac:dyDescent="0.25">
      <c r="B933" s="6"/>
      <c r="C933" s="6"/>
      <c r="D933" s="6"/>
      <c r="E933" s="6"/>
      <c r="F933" s="6"/>
      <c r="G933" s="6"/>
      <c r="H933" s="6"/>
    </row>
    <row r="934" spans="2:8" x14ac:dyDescent="0.25">
      <c r="B934" s="6"/>
      <c r="C934" s="6"/>
      <c r="D934" s="6"/>
      <c r="E934" s="6"/>
      <c r="F934" s="6"/>
      <c r="G934" s="6"/>
      <c r="H934" s="6"/>
    </row>
    <row r="935" spans="2:8" x14ac:dyDescent="0.25">
      <c r="B935" s="6"/>
      <c r="C935" s="6"/>
      <c r="D935" s="6"/>
      <c r="E935" s="6"/>
      <c r="F935" s="6"/>
      <c r="G935" s="6"/>
      <c r="H935" s="6"/>
    </row>
    <row r="936" spans="2:8" x14ac:dyDescent="0.25">
      <c r="B936" s="6"/>
      <c r="C936" s="6"/>
      <c r="D936" s="6"/>
      <c r="E936" s="6"/>
      <c r="F936" s="6"/>
      <c r="G936" s="6"/>
      <c r="H936" s="6"/>
    </row>
    <row r="937" spans="2:8" x14ac:dyDescent="0.25">
      <c r="B937" s="6"/>
      <c r="C937" s="6"/>
      <c r="D937" s="6"/>
      <c r="E937" s="6"/>
      <c r="F937" s="6"/>
      <c r="G937" s="6"/>
      <c r="H937" s="6"/>
    </row>
    <row r="938" spans="2:8" x14ac:dyDescent="0.25">
      <c r="B938" s="6"/>
      <c r="C938" s="6"/>
      <c r="D938" s="6"/>
      <c r="E938" s="6"/>
      <c r="F938" s="6"/>
      <c r="G938" s="6"/>
      <c r="H938" s="6"/>
    </row>
    <row r="939" spans="2:8" x14ac:dyDescent="0.25">
      <c r="B939" s="6"/>
      <c r="C939" s="6"/>
      <c r="D939" s="6"/>
      <c r="E939" s="6"/>
      <c r="F939" s="6"/>
      <c r="G939" s="6"/>
      <c r="H939" s="6"/>
    </row>
    <row r="940" spans="2:8" x14ac:dyDescent="0.25">
      <c r="B940" s="6"/>
      <c r="C940" s="6"/>
      <c r="D940" s="6"/>
      <c r="E940" s="6"/>
      <c r="F940" s="6"/>
      <c r="G940" s="6"/>
      <c r="H940" s="6"/>
    </row>
    <row r="941" spans="2:8" x14ac:dyDescent="0.25">
      <c r="B941" s="6"/>
      <c r="C941" s="6"/>
      <c r="D941" s="6"/>
      <c r="E941" s="6"/>
      <c r="F941" s="6"/>
      <c r="G941" s="6"/>
      <c r="H941" s="6"/>
    </row>
    <row r="942" spans="2:8" x14ac:dyDescent="0.25">
      <c r="B942" s="6"/>
      <c r="C942" s="6"/>
      <c r="D942" s="6"/>
      <c r="E942" s="6"/>
      <c r="F942" s="6"/>
      <c r="G942" s="6"/>
      <c r="H942" s="6"/>
    </row>
    <row r="943" spans="2:8" x14ac:dyDescent="0.25">
      <c r="B943" s="6"/>
      <c r="C943" s="6"/>
      <c r="D943" s="6"/>
      <c r="E943" s="6"/>
      <c r="F943" s="6"/>
      <c r="G943" s="6"/>
      <c r="H943" s="6"/>
    </row>
    <row r="944" spans="2:8" x14ac:dyDescent="0.25">
      <c r="B944" s="6"/>
      <c r="C944" s="6"/>
      <c r="D944" s="6"/>
      <c r="E944" s="6"/>
      <c r="F944" s="6"/>
      <c r="G944" s="6"/>
      <c r="H944" s="6"/>
    </row>
    <row r="945" spans="2:8" x14ac:dyDescent="0.25">
      <c r="B945" s="6"/>
      <c r="C945" s="6"/>
      <c r="D945" s="6"/>
      <c r="E945" s="6"/>
      <c r="F945" s="6"/>
      <c r="G945" s="6"/>
      <c r="H945" s="6"/>
    </row>
    <row r="946" spans="2:8" x14ac:dyDescent="0.25">
      <c r="B946" s="6"/>
      <c r="C946" s="6"/>
      <c r="D946" s="6"/>
      <c r="E946" s="6"/>
      <c r="F946" s="6"/>
      <c r="G946" s="6"/>
      <c r="H946" s="6"/>
    </row>
    <row r="947" spans="2:8" x14ac:dyDescent="0.25">
      <c r="B947" s="6"/>
      <c r="C947" s="6"/>
      <c r="D947" s="6"/>
      <c r="E947" s="6"/>
      <c r="F947" s="6"/>
      <c r="G947" s="6"/>
      <c r="H947" s="6"/>
    </row>
    <row r="948" spans="2:8" x14ac:dyDescent="0.25">
      <c r="B948" s="6"/>
      <c r="C948" s="6"/>
      <c r="D948" s="6"/>
      <c r="E948" s="6"/>
      <c r="F948" s="6"/>
      <c r="G948" s="6"/>
      <c r="H948" s="6"/>
    </row>
    <row r="949" spans="2:8" x14ac:dyDescent="0.25">
      <c r="B949" s="6"/>
      <c r="C949" s="6"/>
      <c r="D949" s="6"/>
      <c r="E949" s="6"/>
      <c r="F949" s="6"/>
      <c r="G949" s="6"/>
      <c r="H949" s="6"/>
    </row>
    <row r="950" spans="2:8" x14ac:dyDescent="0.25">
      <c r="B950" s="6"/>
      <c r="C950" s="6"/>
      <c r="D950" s="6"/>
      <c r="E950" s="6"/>
      <c r="F950" s="6"/>
      <c r="G950" s="6"/>
      <c r="H950" s="6"/>
    </row>
    <row r="951" spans="2:8" x14ac:dyDescent="0.25">
      <c r="B951" s="6"/>
      <c r="C951" s="6"/>
      <c r="D951" s="6"/>
      <c r="E951" s="6"/>
      <c r="F951" s="6"/>
      <c r="G951" s="6"/>
      <c r="H951" s="6"/>
    </row>
    <row r="952" spans="2:8" x14ac:dyDescent="0.25">
      <c r="B952" s="6"/>
      <c r="C952" s="6"/>
      <c r="D952" s="6"/>
      <c r="E952" s="6"/>
      <c r="F952" s="6"/>
      <c r="G952" s="6"/>
      <c r="H952" s="6"/>
    </row>
    <row r="953" spans="2:8" x14ac:dyDescent="0.25">
      <c r="B953" s="6"/>
      <c r="C953" s="6"/>
      <c r="D953" s="6"/>
      <c r="E953" s="6"/>
      <c r="F953" s="6"/>
      <c r="G953" s="6"/>
      <c r="H953" s="6"/>
    </row>
    <row r="954" spans="2:8" x14ac:dyDescent="0.25">
      <c r="B954" s="6"/>
      <c r="C954" s="6"/>
      <c r="D954" s="6"/>
      <c r="E954" s="6"/>
      <c r="F954" s="6"/>
      <c r="G954" s="6"/>
      <c r="H954" s="6"/>
    </row>
    <row r="955" spans="2:8" x14ac:dyDescent="0.25">
      <c r="B955" s="6"/>
      <c r="C955" s="6"/>
      <c r="D955" s="6"/>
      <c r="E955" s="6"/>
      <c r="F955" s="6"/>
      <c r="G955" s="6"/>
      <c r="H955" s="6"/>
    </row>
    <row r="956" spans="2:8" x14ac:dyDescent="0.25">
      <c r="B956" s="6"/>
      <c r="C956" s="6"/>
      <c r="D956" s="6"/>
      <c r="E956" s="6"/>
      <c r="F956" s="6"/>
      <c r="G956" s="6"/>
      <c r="H956" s="6"/>
    </row>
    <row r="957" spans="2:8" x14ac:dyDescent="0.25">
      <c r="B957" s="6"/>
      <c r="C957" s="6"/>
      <c r="D957" s="6"/>
      <c r="E957" s="6"/>
      <c r="F957" s="6"/>
      <c r="G957" s="6"/>
      <c r="H957" s="6"/>
    </row>
    <row r="958" spans="2:8" x14ac:dyDescent="0.25">
      <c r="B958" s="6"/>
      <c r="C958" s="6"/>
      <c r="D958" s="6"/>
      <c r="E958" s="6"/>
      <c r="F958" s="6"/>
      <c r="G958" s="6"/>
      <c r="H958" s="6"/>
    </row>
    <row r="959" spans="2:8" x14ac:dyDescent="0.25">
      <c r="B959" s="6"/>
      <c r="C959" s="6"/>
      <c r="D959" s="6"/>
      <c r="E959" s="6"/>
      <c r="F959" s="6"/>
      <c r="G959" s="6"/>
      <c r="H959" s="6"/>
    </row>
    <row r="960" spans="2:8" x14ac:dyDescent="0.25">
      <c r="B960" s="6"/>
      <c r="C960" s="6"/>
      <c r="D960" s="6"/>
      <c r="E960" s="6"/>
      <c r="F960" s="6"/>
      <c r="G960" s="6"/>
      <c r="H960" s="6"/>
    </row>
    <row r="961" spans="2:8" x14ac:dyDescent="0.25">
      <c r="B961" s="6"/>
      <c r="C961" s="6"/>
      <c r="D961" s="6"/>
      <c r="E961" s="6"/>
      <c r="F961" s="6"/>
      <c r="G961" s="6"/>
      <c r="H961" s="6"/>
    </row>
    <row r="962" spans="2:8" x14ac:dyDescent="0.25">
      <c r="B962" s="6"/>
      <c r="C962" s="6"/>
      <c r="D962" s="6"/>
      <c r="E962" s="6"/>
      <c r="F962" s="6"/>
      <c r="G962" s="6"/>
      <c r="H962" s="6"/>
    </row>
    <row r="963" spans="2:8" x14ac:dyDescent="0.25">
      <c r="B963" s="6"/>
      <c r="C963" s="6"/>
      <c r="D963" s="6"/>
      <c r="E963" s="6"/>
      <c r="F963" s="6"/>
      <c r="G963" s="6"/>
      <c r="H963" s="6"/>
    </row>
    <row r="964" spans="2:8" x14ac:dyDescent="0.25">
      <c r="B964" s="6"/>
      <c r="C964" s="6"/>
      <c r="D964" s="6"/>
      <c r="E964" s="6"/>
      <c r="F964" s="6"/>
      <c r="G964" s="6"/>
      <c r="H964" s="6"/>
    </row>
    <row r="965" spans="2:8" x14ac:dyDescent="0.25">
      <c r="B965" s="6"/>
      <c r="C965" s="6"/>
      <c r="D965" s="6"/>
      <c r="E965" s="6"/>
      <c r="F965" s="6"/>
      <c r="G965" s="6"/>
      <c r="H965" s="6"/>
    </row>
    <row r="966" spans="2:8" x14ac:dyDescent="0.25">
      <c r="B966" s="6"/>
      <c r="C966" s="6"/>
      <c r="D966" s="6"/>
      <c r="E966" s="6"/>
      <c r="F966" s="6"/>
      <c r="G966" s="6"/>
      <c r="H966" s="6"/>
    </row>
    <row r="967" spans="2:8" x14ac:dyDescent="0.25">
      <c r="B967" s="6"/>
      <c r="C967" s="6"/>
      <c r="D967" s="6"/>
      <c r="E967" s="6"/>
      <c r="F967" s="6"/>
      <c r="G967" s="6"/>
      <c r="H967" s="6"/>
    </row>
    <row r="968" spans="2:8" x14ac:dyDescent="0.25">
      <c r="B968" s="6"/>
      <c r="C968" s="6"/>
      <c r="D968" s="6"/>
      <c r="E968" s="6"/>
      <c r="F968" s="6"/>
      <c r="G968" s="6"/>
      <c r="H968" s="6"/>
    </row>
    <row r="969" spans="2:8" x14ac:dyDescent="0.25">
      <c r="B969" s="6"/>
      <c r="C969" s="6"/>
      <c r="D969" s="6"/>
      <c r="E969" s="6"/>
      <c r="F969" s="6"/>
      <c r="G969" s="6"/>
      <c r="H969" s="6"/>
    </row>
    <row r="970" spans="2:8" x14ac:dyDescent="0.25">
      <c r="B970" s="6"/>
      <c r="C970" s="6"/>
      <c r="D970" s="6"/>
      <c r="E970" s="6"/>
      <c r="F970" s="6"/>
      <c r="G970" s="6"/>
      <c r="H970" s="6"/>
    </row>
    <row r="971" spans="2:8" x14ac:dyDescent="0.25">
      <c r="B971" s="6"/>
      <c r="C971" s="6"/>
      <c r="D971" s="6"/>
      <c r="E971" s="6"/>
      <c r="F971" s="6"/>
      <c r="G971" s="6"/>
      <c r="H971" s="6"/>
    </row>
    <row r="972" spans="2:8" x14ac:dyDescent="0.25">
      <c r="B972" s="6"/>
      <c r="C972" s="6"/>
      <c r="D972" s="6"/>
      <c r="E972" s="6"/>
      <c r="F972" s="6"/>
      <c r="G972" s="6"/>
      <c r="H972" s="6"/>
    </row>
    <row r="973" spans="2:8" x14ac:dyDescent="0.25">
      <c r="B973" s="6"/>
      <c r="C973" s="6"/>
      <c r="D973" s="6"/>
      <c r="E973" s="6"/>
      <c r="F973" s="6"/>
      <c r="G973" s="6"/>
      <c r="H973" s="6"/>
    </row>
    <row r="974" spans="2:8" x14ac:dyDescent="0.25">
      <c r="B974" s="6"/>
      <c r="C974" s="6"/>
      <c r="D974" s="6"/>
      <c r="E974" s="6"/>
      <c r="F974" s="6"/>
      <c r="G974" s="6"/>
      <c r="H974" s="6"/>
    </row>
    <row r="975" spans="2:8" x14ac:dyDescent="0.25">
      <c r="B975" s="6"/>
      <c r="C975" s="6"/>
      <c r="D975" s="6"/>
      <c r="E975" s="6"/>
      <c r="F975" s="6"/>
      <c r="G975" s="6"/>
      <c r="H975" s="6"/>
    </row>
    <row r="976" spans="2:8" x14ac:dyDescent="0.25">
      <c r="B976" s="6"/>
      <c r="C976" s="6"/>
      <c r="D976" s="6"/>
      <c r="E976" s="6"/>
      <c r="F976" s="6"/>
      <c r="G976" s="6"/>
      <c r="H976" s="6"/>
    </row>
    <row r="977" spans="2:8" x14ac:dyDescent="0.25">
      <c r="B977" s="6"/>
      <c r="C977" s="6"/>
      <c r="D977" s="6"/>
      <c r="E977" s="6"/>
      <c r="F977" s="6"/>
      <c r="G977" s="6"/>
      <c r="H977" s="6"/>
    </row>
    <row r="978" spans="2:8" x14ac:dyDescent="0.25">
      <c r="B978" s="6"/>
      <c r="C978" s="6"/>
      <c r="D978" s="6"/>
      <c r="E978" s="6"/>
      <c r="F978" s="6"/>
      <c r="G978" s="6"/>
      <c r="H978" s="6"/>
    </row>
    <row r="979" spans="2:8" x14ac:dyDescent="0.25">
      <c r="B979" s="6"/>
      <c r="C979" s="6"/>
      <c r="D979" s="6"/>
      <c r="E979" s="6"/>
      <c r="F979" s="6"/>
      <c r="G979" s="6"/>
      <c r="H979" s="6"/>
    </row>
    <row r="980" spans="2:8" x14ac:dyDescent="0.25">
      <c r="B980" s="6"/>
      <c r="C980" s="6"/>
      <c r="D980" s="6"/>
      <c r="E980" s="6"/>
      <c r="F980" s="6"/>
      <c r="G980" s="6"/>
      <c r="H980" s="6"/>
    </row>
    <row r="981" spans="2:8" x14ac:dyDescent="0.25">
      <c r="B981" s="6"/>
      <c r="C981" s="6"/>
      <c r="D981" s="6"/>
      <c r="E981" s="6"/>
      <c r="F981" s="6"/>
      <c r="G981" s="6"/>
      <c r="H981" s="6"/>
    </row>
    <row r="982" spans="2:8" x14ac:dyDescent="0.25">
      <c r="B982" s="6"/>
      <c r="C982" s="6"/>
      <c r="D982" s="6"/>
      <c r="E982" s="6"/>
      <c r="F982" s="6"/>
      <c r="G982" s="6"/>
      <c r="H982" s="6"/>
    </row>
    <row r="983" spans="2:8" x14ac:dyDescent="0.25">
      <c r="B983" s="6"/>
      <c r="C983" s="6"/>
      <c r="D983" s="6"/>
      <c r="E983" s="6"/>
      <c r="F983" s="6"/>
      <c r="G983" s="6"/>
      <c r="H983" s="6"/>
    </row>
    <row r="984" spans="2:8" x14ac:dyDescent="0.25">
      <c r="B984" s="6"/>
      <c r="C984" s="6"/>
      <c r="D984" s="6"/>
      <c r="E984" s="6"/>
      <c r="F984" s="6"/>
      <c r="G984" s="6"/>
      <c r="H984" s="6"/>
    </row>
    <row r="985" spans="2:8" x14ac:dyDescent="0.25">
      <c r="B985" s="6"/>
      <c r="C985" s="6"/>
      <c r="D985" s="6"/>
      <c r="E985" s="6"/>
      <c r="F985" s="6"/>
      <c r="G985" s="6"/>
      <c r="H985" s="6"/>
    </row>
    <row r="986" spans="2:8" x14ac:dyDescent="0.25">
      <c r="B986" s="6"/>
      <c r="C986" s="6"/>
      <c r="D986" s="6"/>
      <c r="E986" s="6"/>
      <c r="F986" s="6"/>
      <c r="G986" s="6"/>
      <c r="H986" s="6"/>
    </row>
    <row r="987" spans="2:8" x14ac:dyDescent="0.25">
      <c r="B987" s="6"/>
      <c r="C987" s="6"/>
      <c r="D987" s="6"/>
      <c r="E987" s="6"/>
      <c r="F987" s="6"/>
      <c r="G987" s="6"/>
      <c r="H987" s="6"/>
    </row>
    <row r="988" spans="2:8" x14ac:dyDescent="0.25">
      <c r="B988" s="6"/>
      <c r="C988" s="6"/>
      <c r="D988" s="6"/>
      <c r="E988" s="6"/>
      <c r="F988" s="6"/>
      <c r="G988" s="6"/>
      <c r="H988" s="6"/>
    </row>
    <row r="989" spans="2:8" x14ac:dyDescent="0.25">
      <c r="B989" s="6"/>
      <c r="C989" s="6"/>
      <c r="D989" s="6"/>
      <c r="E989" s="6"/>
      <c r="F989" s="6"/>
      <c r="G989" s="6"/>
      <c r="H989" s="6"/>
    </row>
    <row r="990" spans="2:8" x14ac:dyDescent="0.25">
      <c r="B990" s="6"/>
      <c r="C990" s="6"/>
      <c r="D990" s="6"/>
      <c r="E990" s="6"/>
      <c r="F990" s="6"/>
      <c r="G990" s="6"/>
      <c r="H990" s="6"/>
    </row>
    <row r="991" spans="2:8" x14ac:dyDescent="0.25">
      <c r="B991" s="6"/>
      <c r="C991" s="6"/>
      <c r="D991" s="6"/>
      <c r="E991" s="6"/>
      <c r="F991" s="6"/>
      <c r="G991" s="6"/>
      <c r="H991" s="6"/>
    </row>
    <row r="992" spans="2:8" x14ac:dyDescent="0.25">
      <c r="B992" s="6"/>
      <c r="C992" s="6"/>
      <c r="D992" s="6"/>
      <c r="E992" s="6"/>
      <c r="F992" s="6"/>
      <c r="G992" s="6"/>
      <c r="H992" s="6"/>
    </row>
    <row r="993" spans="2:8" x14ac:dyDescent="0.25">
      <c r="B993" s="6"/>
      <c r="C993" s="6"/>
      <c r="D993" s="6"/>
      <c r="E993" s="6"/>
      <c r="F993" s="6"/>
      <c r="G993" s="6"/>
      <c r="H993" s="6"/>
    </row>
    <row r="994" spans="2:8" x14ac:dyDescent="0.25">
      <c r="B994" s="6"/>
      <c r="C994" s="6"/>
      <c r="D994" s="6"/>
      <c r="E994" s="6"/>
      <c r="F994" s="6"/>
      <c r="G994" s="6"/>
      <c r="H994" s="6"/>
    </row>
    <row r="995" spans="2:8" x14ac:dyDescent="0.25">
      <c r="B995" s="6"/>
      <c r="C995" s="6"/>
      <c r="D995" s="6"/>
      <c r="E995" s="6"/>
      <c r="F995" s="6"/>
      <c r="G995" s="6"/>
      <c r="H995" s="6"/>
    </row>
    <row r="996" spans="2:8" x14ac:dyDescent="0.25">
      <c r="B996" s="6"/>
      <c r="C996" s="6"/>
      <c r="D996" s="6"/>
      <c r="E996" s="6"/>
      <c r="F996" s="6"/>
      <c r="G996" s="6"/>
      <c r="H996" s="6"/>
    </row>
    <row r="997" spans="2:8" x14ac:dyDescent="0.25">
      <c r="B997" s="6"/>
      <c r="C997" s="6"/>
      <c r="D997" s="6"/>
      <c r="E997" s="6"/>
      <c r="F997" s="6"/>
      <c r="G997" s="6"/>
      <c r="H997" s="6"/>
    </row>
    <row r="998" spans="2:8" x14ac:dyDescent="0.25">
      <c r="B998" s="6"/>
      <c r="C998" s="6"/>
      <c r="D998" s="6"/>
      <c r="E998" s="6"/>
      <c r="F998" s="6"/>
      <c r="G998" s="6"/>
      <c r="H998" s="6"/>
    </row>
    <row r="999" spans="2:8" x14ac:dyDescent="0.25">
      <c r="B999" s="6"/>
      <c r="C999" s="6"/>
      <c r="D999" s="6"/>
      <c r="E999" s="6"/>
      <c r="F999" s="6"/>
      <c r="G999" s="6"/>
      <c r="H999" s="6"/>
    </row>
    <row r="1000" spans="2:8" x14ac:dyDescent="0.25">
      <c r="B1000" s="6"/>
      <c r="C1000" s="6"/>
      <c r="D1000" s="6"/>
      <c r="E1000" s="6"/>
      <c r="F1000" s="6"/>
      <c r="G1000" s="6"/>
      <c r="H1000" s="6"/>
    </row>
    <row r="1001" spans="2:8" x14ac:dyDescent="0.25">
      <c r="B1001" s="6"/>
      <c r="C1001" s="6"/>
      <c r="D1001" s="6"/>
      <c r="E1001" s="6"/>
      <c r="F1001" s="6"/>
      <c r="G1001" s="6"/>
      <c r="H1001" s="6"/>
    </row>
    <row r="1002" spans="2:8" x14ac:dyDescent="0.25">
      <c r="B1002" s="6"/>
      <c r="C1002" s="6"/>
      <c r="D1002" s="6"/>
      <c r="E1002" s="6"/>
      <c r="F1002" s="6"/>
      <c r="G1002" s="6"/>
      <c r="H1002" s="6"/>
    </row>
    <row r="1003" spans="2:8" x14ac:dyDescent="0.25">
      <c r="B1003" s="6"/>
      <c r="C1003" s="6"/>
      <c r="D1003" s="6"/>
      <c r="E1003" s="6"/>
      <c r="F1003" s="6"/>
      <c r="G1003" s="6"/>
      <c r="H1003" s="6"/>
    </row>
    <row r="1004" spans="2:8" x14ac:dyDescent="0.25">
      <c r="B1004" s="6"/>
      <c r="C1004" s="6"/>
      <c r="D1004" s="6"/>
      <c r="E1004" s="6"/>
      <c r="F1004" s="6"/>
      <c r="G1004" s="6"/>
      <c r="H1004" s="6"/>
    </row>
    <row r="1005" spans="2:8" x14ac:dyDescent="0.25">
      <c r="B1005" s="6"/>
      <c r="C1005" s="6"/>
      <c r="D1005" s="6"/>
      <c r="E1005" s="6"/>
      <c r="F1005" s="6"/>
      <c r="G1005" s="6"/>
      <c r="H1005" s="6"/>
    </row>
    <row r="1006" spans="2:8" x14ac:dyDescent="0.25">
      <c r="B1006" s="6"/>
      <c r="C1006" s="6"/>
      <c r="D1006" s="6"/>
      <c r="E1006" s="6"/>
      <c r="F1006" s="6"/>
      <c r="G1006" s="6"/>
      <c r="H1006" s="6"/>
    </row>
    <row r="1007" spans="2:8" x14ac:dyDescent="0.25">
      <c r="B1007" s="6"/>
      <c r="C1007" s="6"/>
      <c r="D1007" s="6"/>
      <c r="E1007" s="6"/>
      <c r="F1007" s="6"/>
      <c r="G1007" s="6"/>
      <c r="H1007" s="6"/>
    </row>
    <row r="1008" spans="2:8" x14ac:dyDescent="0.25">
      <c r="B1008" s="6"/>
      <c r="C1008" s="6"/>
      <c r="D1008" s="6"/>
      <c r="E1008" s="6"/>
      <c r="F1008" s="6"/>
      <c r="G1008" s="6"/>
      <c r="H1008" s="6"/>
    </row>
    <row r="1009" spans="2:8" x14ac:dyDescent="0.25">
      <c r="B1009" s="6"/>
      <c r="C1009" s="6"/>
      <c r="D1009" s="6"/>
      <c r="E1009" s="6"/>
      <c r="F1009" s="6"/>
      <c r="G1009" s="6"/>
      <c r="H1009" s="6"/>
    </row>
    <row r="1010" spans="2:8" x14ac:dyDescent="0.25">
      <c r="B1010" s="6"/>
      <c r="C1010" s="6"/>
      <c r="D1010" s="6"/>
      <c r="E1010" s="6"/>
      <c r="F1010" s="6"/>
      <c r="G1010" s="6"/>
      <c r="H1010" s="6"/>
    </row>
    <row r="1011" spans="2:8" x14ac:dyDescent="0.25">
      <c r="B1011" s="6"/>
      <c r="C1011" s="6"/>
      <c r="D1011" s="6"/>
      <c r="E1011" s="6"/>
      <c r="F1011" s="6"/>
      <c r="G1011" s="6"/>
      <c r="H1011" s="6"/>
    </row>
    <row r="1012" spans="2:8" x14ac:dyDescent="0.25">
      <c r="B1012" s="6"/>
      <c r="C1012" s="6"/>
      <c r="D1012" s="6"/>
      <c r="E1012" s="6"/>
      <c r="F1012" s="6"/>
      <c r="G1012" s="6"/>
      <c r="H1012" s="6"/>
    </row>
    <row r="1013" spans="2:8" x14ac:dyDescent="0.25">
      <c r="B1013" s="6"/>
      <c r="C1013" s="6"/>
      <c r="D1013" s="6"/>
      <c r="E1013" s="6"/>
      <c r="F1013" s="6"/>
      <c r="G1013" s="6"/>
      <c r="H1013" s="6"/>
    </row>
    <row r="1014" spans="2:8" x14ac:dyDescent="0.25">
      <c r="B1014" s="6"/>
      <c r="C1014" s="6"/>
      <c r="D1014" s="6"/>
      <c r="E1014" s="6"/>
      <c r="F1014" s="6"/>
      <c r="G1014" s="6"/>
      <c r="H1014" s="6"/>
    </row>
    <row r="1015" spans="2:8" x14ac:dyDescent="0.25">
      <c r="B1015" s="6"/>
      <c r="C1015" s="6"/>
      <c r="D1015" s="6"/>
      <c r="E1015" s="6"/>
      <c r="F1015" s="6"/>
      <c r="G1015" s="6"/>
      <c r="H1015" s="6"/>
    </row>
    <row r="1016" spans="2:8" x14ac:dyDescent="0.25">
      <c r="B1016" s="6"/>
      <c r="C1016" s="6"/>
      <c r="D1016" s="6"/>
      <c r="E1016" s="6"/>
      <c r="F1016" s="6"/>
      <c r="G1016" s="6"/>
      <c r="H1016" s="6"/>
    </row>
    <row r="1017" spans="2:8" x14ac:dyDescent="0.25">
      <c r="B1017" s="6"/>
      <c r="C1017" s="6"/>
      <c r="D1017" s="6"/>
      <c r="E1017" s="6"/>
      <c r="F1017" s="6"/>
      <c r="G1017" s="6"/>
      <c r="H1017" s="6"/>
    </row>
    <row r="1018" spans="2:8" x14ac:dyDescent="0.25">
      <c r="B1018" s="6"/>
      <c r="C1018" s="6"/>
      <c r="D1018" s="6"/>
      <c r="E1018" s="6"/>
      <c r="F1018" s="6"/>
      <c r="G1018" s="6"/>
      <c r="H1018" s="6"/>
    </row>
    <row r="1019" spans="2:8" x14ac:dyDescent="0.25">
      <c r="B1019" s="6"/>
      <c r="C1019" s="6"/>
      <c r="D1019" s="6"/>
      <c r="E1019" s="6"/>
      <c r="F1019" s="6"/>
      <c r="G1019" s="6"/>
      <c r="H1019" s="6"/>
    </row>
    <row r="1020" spans="2:8" x14ac:dyDescent="0.25">
      <c r="B1020" s="6"/>
      <c r="C1020" s="6"/>
      <c r="D1020" s="6"/>
      <c r="E1020" s="6"/>
      <c r="F1020" s="6"/>
      <c r="G1020" s="6"/>
      <c r="H1020" s="6"/>
    </row>
    <row r="1021" spans="2:8" x14ac:dyDescent="0.25">
      <c r="B1021" s="6"/>
      <c r="C1021" s="6"/>
      <c r="D1021" s="6"/>
      <c r="E1021" s="6"/>
      <c r="F1021" s="6"/>
      <c r="G1021" s="6"/>
      <c r="H1021" s="6"/>
    </row>
    <row r="1022" spans="2:8" x14ac:dyDescent="0.25">
      <c r="B1022" s="6"/>
      <c r="C1022" s="6"/>
      <c r="D1022" s="6"/>
      <c r="E1022" s="6"/>
      <c r="F1022" s="6"/>
      <c r="G1022" s="6"/>
      <c r="H1022" s="6"/>
    </row>
    <row r="1023" spans="2:8" x14ac:dyDescent="0.25">
      <c r="B1023" s="6"/>
      <c r="C1023" s="6"/>
      <c r="D1023" s="6"/>
      <c r="E1023" s="6"/>
      <c r="F1023" s="6"/>
      <c r="G1023" s="6"/>
      <c r="H1023" s="6"/>
    </row>
    <row r="1024" spans="2:8" x14ac:dyDescent="0.25">
      <c r="B1024" s="6"/>
      <c r="C1024" s="6"/>
      <c r="D1024" s="6"/>
      <c r="E1024" s="6"/>
      <c r="F1024" s="6"/>
      <c r="G1024" s="6"/>
      <c r="H1024" s="6"/>
    </row>
    <row r="1025" spans="2:8" x14ac:dyDescent="0.25">
      <c r="B1025" s="6"/>
      <c r="C1025" s="6"/>
      <c r="D1025" s="6"/>
      <c r="E1025" s="6"/>
      <c r="F1025" s="6"/>
      <c r="G1025" s="6"/>
      <c r="H1025" s="6"/>
    </row>
    <row r="1026" spans="2:8" x14ac:dyDescent="0.25">
      <c r="B1026" s="6"/>
      <c r="C1026" s="6"/>
      <c r="D1026" s="6"/>
      <c r="E1026" s="6"/>
      <c r="F1026" s="6"/>
      <c r="G1026" s="6"/>
      <c r="H1026" s="6"/>
    </row>
    <row r="1027" spans="2:8" x14ac:dyDescent="0.25">
      <c r="B1027" s="6"/>
      <c r="C1027" s="6"/>
      <c r="D1027" s="6"/>
      <c r="E1027" s="6"/>
      <c r="F1027" s="6"/>
      <c r="G1027" s="6"/>
      <c r="H1027" s="6"/>
    </row>
    <row r="1028" spans="2:8" x14ac:dyDescent="0.25">
      <c r="B1028" s="6"/>
      <c r="C1028" s="6"/>
      <c r="D1028" s="6"/>
      <c r="E1028" s="6"/>
      <c r="F1028" s="6"/>
      <c r="G1028" s="6"/>
      <c r="H1028" s="6"/>
    </row>
    <row r="1029" spans="2:8" x14ac:dyDescent="0.25">
      <c r="B1029" s="6"/>
      <c r="C1029" s="6"/>
      <c r="D1029" s="6"/>
      <c r="E1029" s="6"/>
      <c r="F1029" s="6"/>
      <c r="G1029" s="6"/>
      <c r="H1029" s="6"/>
    </row>
    <row r="1030" spans="2:8" x14ac:dyDescent="0.25">
      <c r="B1030" s="6"/>
      <c r="C1030" s="6"/>
      <c r="D1030" s="6"/>
      <c r="E1030" s="6"/>
      <c r="F1030" s="6"/>
      <c r="G1030" s="6"/>
      <c r="H1030" s="6"/>
    </row>
    <row r="1031" spans="2:8" x14ac:dyDescent="0.25">
      <c r="B1031" s="6"/>
      <c r="C1031" s="6"/>
      <c r="D1031" s="6"/>
      <c r="E1031" s="6"/>
      <c r="F1031" s="6"/>
      <c r="G1031" s="6"/>
      <c r="H1031" s="6"/>
    </row>
    <row r="1032" spans="2:8" x14ac:dyDescent="0.25">
      <c r="B1032" s="6"/>
      <c r="C1032" s="6"/>
      <c r="D1032" s="6"/>
      <c r="E1032" s="6"/>
      <c r="F1032" s="6"/>
      <c r="G1032" s="6"/>
      <c r="H1032" s="6"/>
    </row>
    <row r="1033" spans="2:8" x14ac:dyDescent="0.25">
      <c r="B1033" s="6"/>
      <c r="C1033" s="6"/>
      <c r="D1033" s="6"/>
      <c r="E1033" s="6"/>
      <c r="F1033" s="6"/>
      <c r="G1033" s="6"/>
      <c r="H1033" s="6"/>
    </row>
    <row r="1034" spans="2:8" x14ac:dyDescent="0.25">
      <c r="B1034" s="6"/>
      <c r="C1034" s="6"/>
      <c r="D1034" s="6"/>
      <c r="E1034" s="6"/>
      <c r="F1034" s="6"/>
      <c r="G1034" s="6"/>
      <c r="H1034" s="6"/>
    </row>
    <row r="1035" spans="2:8" x14ac:dyDescent="0.25">
      <c r="B1035" s="6"/>
      <c r="C1035" s="6"/>
      <c r="D1035" s="6"/>
      <c r="E1035" s="6"/>
      <c r="F1035" s="6"/>
      <c r="G1035" s="6"/>
      <c r="H1035" s="6"/>
    </row>
    <row r="1036" spans="2:8" x14ac:dyDescent="0.25">
      <c r="B1036" s="6"/>
      <c r="C1036" s="6"/>
      <c r="D1036" s="6"/>
      <c r="E1036" s="6"/>
      <c r="F1036" s="6"/>
      <c r="G1036" s="6"/>
      <c r="H1036" s="6"/>
    </row>
    <row r="1037" spans="2:8" x14ac:dyDescent="0.25">
      <c r="B1037" s="6"/>
      <c r="C1037" s="6"/>
      <c r="D1037" s="6"/>
      <c r="E1037" s="6"/>
      <c r="F1037" s="6"/>
      <c r="G1037" s="6"/>
      <c r="H1037" s="6"/>
    </row>
    <row r="1038" spans="2:8" x14ac:dyDescent="0.25">
      <c r="B1038" s="6"/>
      <c r="C1038" s="6"/>
      <c r="D1038" s="6"/>
      <c r="E1038" s="6"/>
      <c r="F1038" s="6"/>
      <c r="G1038" s="6"/>
      <c r="H1038" s="6"/>
    </row>
    <row r="1039" spans="2:8" x14ac:dyDescent="0.25">
      <c r="B1039" s="6"/>
      <c r="C1039" s="6"/>
      <c r="D1039" s="6"/>
      <c r="E1039" s="6"/>
      <c r="F1039" s="6"/>
      <c r="G1039" s="6"/>
      <c r="H1039" s="6"/>
    </row>
    <row r="1040" spans="2:8" x14ac:dyDescent="0.25">
      <c r="B1040" s="6"/>
      <c r="C1040" s="6"/>
      <c r="D1040" s="6"/>
      <c r="E1040" s="6"/>
      <c r="F1040" s="6"/>
      <c r="G1040" s="6"/>
      <c r="H1040" s="6"/>
    </row>
    <row r="1041" spans="2:8" x14ac:dyDescent="0.25">
      <c r="B1041" s="6"/>
      <c r="C1041" s="6"/>
      <c r="D1041" s="6"/>
      <c r="E1041" s="6"/>
      <c r="F1041" s="6"/>
      <c r="G1041" s="6"/>
      <c r="H1041" s="6"/>
    </row>
    <row r="1042" spans="2:8" x14ac:dyDescent="0.25">
      <c r="B1042" s="6"/>
      <c r="C1042" s="6"/>
      <c r="D1042" s="6"/>
      <c r="E1042" s="6"/>
      <c r="F1042" s="6"/>
      <c r="G1042" s="6"/>
      <c r="H1042" s="6"/>
    </row>
    <row r="1043" spans="2:8" x14ac:dyDescent="0.25">
      <c r="B1043" s="6"/>
      <c r="C1043" s="6"/>
      <c r="D1043" s="6"/>
      <c r="E1043" s="6"/>
      <c r="F1043" s="6"/>
      <c r="G1043" s="6"/>
      <c r="H1043" s="6"/>
    </row>
    <row r="1044" spans="2:8" x14ac:dyDescent="0.25">
      <c r="B1044" s="6"/>
      <c r="C1044" s="6"/>
      <c r="D1044" s="6"/>
      <c r="E1044" s="6"/>
      <c r="F1044" s="6"/>
      <c r="G1044" s="6"/>
      <c r="H1044" s="6"/>
    </row>
    <row r="1045" spans="2:8" x14ac:dyDescent="0.25">
      <c r="B1045" s="6"/>
      <c r="C1045" s="6"/>
      <c r="D1045" s="6"/>
      <c r="E1045" s="6"/>
      <c r="F1045" s="6"/>
      <c r="G1045" s="6"/>
      <c r="H1045" s="6"/>
    </row>
    <row r="1046" spans="2:8" x14ac:dyDescent="0.25">
      <c r="B1046" s="6"/>
      <c r="C1046" s="6"/>
      <c r="D1046" s="6"/>
      <c r="E1046" s="6"/>
      <c r="F1046" s="6"/>
      <c r="G1046" s="6"/>
      <c r="H1046" s="6"/>
    </row>
    <row r="1047" spans="2:8" x14ac:dyDescent="0.25">
      <c r="B1047" s="6"/>
      <c r="C1047" s="6"/>
      <c r="D1047" s="6"/>
      <c r="E1047" s="6"/>
      <c r="F1047" s="6"/>
      <c r="G1047" s="6"/>
      <c r="H1047" s="6"/>
    </row>
    <row r="1048" spans="2:8" x14ac:dyDescent="0.25">
      <c r="B1048" s="6"/>
      <c r="C1048" s="6"/>
      <c r="D1048" s="6"/>
      <c r="E1048" s="6"/>
      <c r="F1048" s="6"/>
      <c r="G1048" s="6"/>
      <c r="H1048" s="6"/>
    </row>
    <row r="1049" spans="2:8" x14ac:dyDescent="0.25">
      <c r="B1049" s="6"/>
      <c r="C1049" s="6"/>
      <c r="D1049" s="6"/>
      <c r="E1049" s="6"/>
      <c r="F1049" s="6"/>
      <c r="G1049" s="6"/>
      <c r="H1049" s="6"/>
    </row>
    <row r="1050" spans="2:8" x14ac:dyDescent="0.25">
      <c r="B1050" s="6"/>
      <c r="C1050" s="6"/>
      <c r="D1050" s="6"/>
      <c r="E1050" s="6"/>
      <c r="F1050" s="6"/>
      <c r="G1050" s="6"/>
      <c r="H1050" s="6"/>
    </row>
    <row r="1051" spans="2:8" x14ac:dyDescent="0.25">
      <c r="B1051" s="6"/>
      <c r="C1051" s="6"/>
      <c r="D1051" s="6"/>
      <c r="E1051" s="6"/>
      <c r="F1051" s="6"/>
      <c r="G1051" s="6"/>
      <c r="H1051" s="6"/>
    </row>
    <row r="1052" spans="2:8" x14ac:dyDescent="0.25">
      <c r="B1052" s="6"/>
      <c r="C1052" s="6"/>
      <c r="D1052" s="6"/>
      <c r="E1052" s="6"/>
      <c r="F1052" s="6"/>
      <c r="G1052" s="6"/>
      <c r="H1052" s="6"/>
    </row>
    <row r="1053" spans="2:8" x14ac:dyDescent="0.25">
      <c r="B1053" s="6"/>
      <c r="C1053" s="6"/>
      <c r="D1053" s="6"/>
      <c r="E1053" s="6"/>
      <c r="F1053" s="6"/>
      <c r="G1053" s="6"/>
      <c r="H1053" s="6"/>
    </row>
    <row r="1054" spans="2:8" x14ac:dyDescent="0.25">
      <c r="B1054" s="6"/>
      <c r="C1054" s="6"/>
      <c r="D1054" s="6"/>
      <c r="E1054" s="6"/>
      <c r="F1054" s="6"/>
      <c r="G1054" s="6"/>
      <c r="H1054" s="6"/>
    </row>
    <row r="1055" spans="2:8" x14ac:dyDescent="0.25">
      <c r="B1055" s="6"/>
      <c r="C1055" s="6"/>
      <c r="D1055" s="6"/>
      <c r="E1055" s="6"/>
      <c r="F1055" s="6"/>
      <c r="G1055" s="6"/>
      <c r="H1055" s="6"/>
    </row>
    <row r="1056" spans="2:8" x14ac:dyDescent="0.25">
      <c r="B1056" s="6"/>
      <c r="C1056" s="6"/>
      <c r="D1056" s="6"/>
      <c r="E1056" s="6"/>
      <c r="F1056" s="6"/>
      <c r="G1056" s="6"/>
      <c r="H1056" s="6"/>
    </row>
    <row r="1057" spans="2:8" x14ac:dyDescent="0.25">
      <c r="B1057" s="6"/>
      <c r="C1057" s="6"/>
      <c r="D1057" s="6"/>
      <c r="E1057" s="6"/>
      <c r="F1057" s="6"/>
      <c r="G1057" s="6"/>
      <c r="H1057" s="6"/>
    </row>
    <row r="1058" spans="2:8" x14ac:dyDescent="0.25">
      <c r="B1058" s="6"/>
      <c r="C1058" s="6"/>
      <c r="D1058" s="6"/>
      <c r="E1058" s="6"/>
      <c r="F1058" s="6"/>
      <c r="G1058" s="6"/>
      <c r="H1058" s="6"/>
    </row>
    <row r="1059" spans="2:8" x14ac:dyDescent="0.25">
      <c r="B1059" s="6"/>
      <c r="C1059" s="6"/>
      <c r="D1059" s="6"/>
      <c r="E1059" s="6"/>
      <c r="F1059" s="6"/>
      <c r="G1059" s="6"/>
      <c r="H1059" s="6"/>
    </row>
    <row r="1060" spans="2:8" x14ac:dyDescent="0.25">
      <c r="B1060" s="6"/>
      <c r="C1060" s="6"/>
      <c r="D1060" s="6"/>
      <c r="E1060" s="6"/>
      <c r="F1060" s="6"/>
      <c r="G1060" s="6"/>
      <c r="H1060" s="6"/>
    </row>
    <row r="1061" spans="2:8" x14ac:dyDescent="0.25">
      <c r="B1061" s="6"/>
      <c r="C1061" s="6"/>
      <c r="D1061" s="6"/>
      <c r="E1061" s="6"/>
      <c r="F1061" s="6"/>
      <c r="G1061" s="6"/>
      <c r="H1061" s="6"/>
    </row>
    <row r="1062" spans="2:8" x14ac:dyDescent="0.25">
      <c r="B1062" s="6"/>
      <c r="C1062" s="6"/>
      <c r="D1062" s="6"/>
      <c r="E1062" s="6"/>
      <c r="F1062" s="6"/>
      <c r="G1062" s="6"/>
      <c r="H1062" s="6"/>
    </row>
    <row r="1063" spans="2:8" x14ac:dyDescent="0.25">
      <c r="B1063" s="6"/>
      <c r="C1063" s="6"/>
      <c r="D1063" s="6"/>
      <c r="E1063" s="6"/>
      <c r="F1063" s="6"/>
      <c r="G1063" s="6"/>
      <c r="H1063" s="6"/>
    </row>
    <row r="1064" spans="2:8" x14ac:dyDescent="0.25">
      <c r="B1064" s="6"/>
      <c r="C1064" s="6"/>
      <c r="D1064" s="6"/>
      <c r="E1064" s="6"/>
      <c r="F1064" s="6"/>
      <c r="G1064" s="6"/>
      <c r="H1064" s="6"/>
    </row>
    <row r="1065" spans="2:8" x14ac:dyDescent="0.25">
      <c r="B1065" s="6"/>
      <c r="C1065" s="6"/>
      <c r="D1065" s="6"/>
      <c r="E1065" s="6"/>
      <c r="F1065" s="6"/>
      <c r="G1065" s="6"/>
      <c r="H1065" s="6"/>
    </row>
    <row r="1066" spans="2:8" x14ac:dyDescent="0.25">
      <c r="B1066" s="6"/>
      <c r="C1066" s="6"/>
      <c r="D1066" s="6"/>
      <c r="E1066" s="6"/>
      <c r="F1066" s="6"/>
      <c r="G1066" s="6"/>
      <c r="H1066" s="6"/>
    </row>
    <row r="1067" spans="2:8" x14ac:dyDescent="0.25">
      <c r="B1067" s="6"/>
      <c r="C1067" s="6"/>
      <c r="D1067" s="6"/>
      <c r="E1067" s="6"/>
      <c r="F1067" s="6"/>
      <c r="G1067" s="6"/>
      <c r="H1067" s="6"/>
    </row>
    <row r="1068" spans="2:8" x14ac:dyDescent="0.25">
      <c r="B1068" s="6"/>
      <c r="C1068" s="6"/>
      <c r="D1068" s="6"/>
      <c r="E1068" s="6"/>
      <c r="F1068" s="6"/>
      <c r="G1068" s="6"/>
      <c r="H1068" s="6"/>
    </row>
    <row r="1069" spans="2:8" x14ac:dyDescent="0.25">
      <c r="B1069" s="6"/>
      <c r="C1069" s="6"/>
      <c r="D1069" s="6"/>
      <c r="E1069" s="6"/>
      <c r="F1069" s="6"/>
      <c r="G1069" s="6"/>
      <c r="H1069" s="6"/>
    </row>
    <row r="1070" spans="2:8" x14ac:dyDescent="0.25">
      <c r="B1070" s="6"/>
      <c r="C1070" s="6"/>
      <c r="D1070" s="6"/>
      <c r="E1070" s="6"/>
      <c r="F1070" s="6"/>
      <c r="G1070" s="6"/>
      <c r="H1070" s="6"/>
    </row>
    <row r="1071" spans="2:8" x14ac:dyDescent="0.25">
      <c r="B1071" s="6"/>
      <c r="C1071" s="6"/>
      <c r="D1071" s="6"/>
      <c r="E1071" s="6"/>
      <c r="F1071" s="6"/>
      <c r="G1071" s="6"/>
      <c r="H1071" s="6"/>
    </row>
    <row r="1072" spans="2:8" x14ac:dyDescent="0.25">
      <c r="B1072" s="6"/>
      <c r="C1072" s="6"/>
      <c r="D1072" s="6"/>
      <c r="E1072" s="6"/>
      <c r="F1072" s="6"/>
      <c r="G1072" s="6"/>
      <c r="H1072" s="6"/>
    </row>
    <row r="1073" spans="2:8" x14ac:dyDescent="0.25">
      <c r="B1073" s="6"/>
      <c r="C1073" s="6"/>
      <c r="D1073" s="6"/>
      <c r="E1073" s="6"/>
      <c r="F1073" s="6"/>
      <c r="G1073" s="6"/>
      <c r="H1073" s="6"/>
    </row>
    <row r="1074" spans="2:8" x14ac:dyDescent="0.25">
      <c r="B1074" s="6"/>
      <c r="C1074" s="6"/>
      <c r="D1074" s="6"/>
      <c r="E1074" s="6"/>
      <c r="F1074" s="6"/>
      <c r="G1074" s="6"/>
      <c r="H1074" s="6"/>
    </row>
    <row r="1075" spans="2:8" x14ac:dyDescent="0.25">
      <c r="B1075" s="6"/>
      <c r="C1075" s="6"/>
      <c r="D1075" s="6"/>
      <c r="E1075" s="6"/>
      <c r="F1075" s="6"/>
      <c r="G1075" s="6"/>
      <c r="H1075" s="6"/>
    </row>
    <row r="1076" spans="2:8" x14ac:dyDescent="0.25">
      <c r="B1076" s="6"/>
      <c r="C1076" s="6"/>
      <c r="D1076" s="6"/>
      <c r="E1076" s="6"/>
      <c r="F1076" s="6"/>
      <c r="G1076" s="6"/>
      <c r="H1076" s="6"/>
    </row>
    <row r="1077" spans="2:8" x14ac:dyDescent="0.25">
      <c r="B1077" s="6"/>
      <c r="C1077" s="6"/>
      <c r="D1077" s="6"/>
      <c r="E1077" s="6"/>
      <c r="F1077" s="6"/>
      <c r="G1077" s="6"/>
      <c r="H1077" s="6"/>
    </row>
    <row r="1078" spans="2:8" x14ac:dyDescent="0.25">
      <c r="B1078" s="6"/>
      <c r="C1078" s="6"/>
      <c r="D1078" s="6"/>
      <c r="E1078" s="6"/>
      <c r="F1078" s="6"/>
      <c r="G1078" s="6"/>
      <c r="H1078" s="6"/>
    </row>
    <row r="1079" spans="2:8" x14ac:dyDescent="0.25">
      <c r="B1079" s="6"/>
      <c r="C1079" s="6"/>
      <c r="D1079" s="6"/>
      <c r="E1079" s="6"/>
      <c r="F1079" s="6"/>
      <c r="G1079" s="6"/>
      <c r="H1079" s="6"/>
    </row>
    <row r="1080" spans="2:8" x14ac:dyDescent="0.25">
      <c r="B1080" s="6"/>
      <c r="C1080" s="6"/>
      <c r="D1080" s="6"/>
      <c r="E1080" s="6"/>
      <c r="F1080" s="6"/>
      <c r="G1080" s="6"/>
      <c r="H1080" s="6"/>
    </row>
    <row r="1081" spans="2:8" x14ac:dyDescent="0.25">
      <c r="B1081" s="6"/>
      <c r="C1081" s="6"/>
      <c r="D1081" s="6"/>
      <c r="E1081" s="6"/>
      <c r="F1081" s="6"/>
      <c r="G1081" s="6"/>
      <c r="H1081" s="6"/>
    </row>
    <row r="1082" spans="2:8" x14ac:dyDescent="0.25">
      <c r="B1082" s="6"/>
      <c r="C1082" s="6"/>
      <c r="D1082" s="6"/>
      <c r="E1082" s="6"/>
      <c r="F1082" s="6"/>
      <c r="G1082" s="6"/>
      <c r="H1082" s="6"/>
    </row>
    <row r="1083" spans="2:8" x14ac:dyDescent="0.25">
      <c r="B1083" s="6"/>
      <c r="C1083" s="6"/>
      <c r="D1083" s="6"/>
      <c r="E1083" s="6"/>
      <c r="F1083" s="6"/>
      <c r="G1083" s="6"/>
      <c r="H1083" s="6"/>
    </row>
    <row r="1084" spans="2:8" x14ac:dyDescent="0.25">
      <c r="B1084" s="6"/>
      <c r="C1084" s="6"/>
      <c r="D1084" s="6"/>
      <c r="E1084" s="6"/>
      <c r="F1084" s="6"/>
      <c r="G1084" s="6"/>
      <c r="H1084" s="6"/>
    </row>
    <row r="1085" spans="2:8" x14ac:dyDescent="0.25">
      <c r="B1085" s="6"/>
      <c r="C1085" s="6"/>
      <c r="D1085" s="6"/>
      <c r="E1085" s="6"/>
      <c r="F1085" s="6"/>
      <c r="G1085" s="6"/>
      <c r="H1085" s="6"/>
    </row>
    <row r="1086" spans="2:8" x14ac:dyDescent="0.25">
      <c r="B1086" s="6"/>
      <c r="C1086" s="6"/>
      <c r="D1086" s="6"/>
      <c r="E1086" s="6"/>
      <c r="F1086" s="6"/>
      <c r="G1086" s="6"/>
      <c r="H1086" s="6"/>
    </row>
    <row r="1087" spans="2:8" x14ac:dyDescent="0.25">
      <c r="B1087" s="6"/>
      <c r="C1087" s="6"/>
      <c r="D1087" s="6"/>
      <c r="E1087" s="6"/>
      <c r="F1087" s="6"/>
      <c r="G1087" s="6"/>
      <c r="H1087" s="6"/>
    </row>
    <row r="1088" spans="2:8" x14ac:dyDescent="0.25">
      <c r="B1088" s="6"/>
      <c r="C1088" s="6"/>
      <c r="D1088" s="6"/>
      <c r="E1088" s="6"/>
      <c r="F1088" s="6"/>
      <c r="G1088" s="6"/>
      <c r="H1088" s="6"/>
    </row>
    <row r="1089" spans="2:8" x14ac:dyDescent="0.25">
      <c r="B1089" s="6"/>
      <c r="C1089" s="6"/>
      <c r="D1089" s="6"/>
      <c r="E1089" s="6"/>
      <c r="F1089" s="6"/>
      <c r="G1089" s="6"/>
      <c r="H1089" s="6"/>
    </row>
    <row r="1090" spans="2:8" x14ac:dyDescent="0.25">
      <c r="B1090" s="6"/>
      <c r="C1090" s="6"/>
      <c r="D1090" s="6"/>
      <c r="E1090" s="6"/>
      <c r="F1090" s="6"/>
      <c r="G1090" s="6"/>
      <c r="H1090" s="6"/>
    </row>
    <row r="1091" spans="2:8" x14ac:dyDescent="0.25">
      <c r="B1091" s="6"/>
      <c r="C1091" s="6"/>
      <c r="D1091" s="6"/>
      <c r="E1091" s="6"/>
      <c r="F1091" s="6"/>
      <c r="G1091" s="6"/>
      <c r="H1091" s="6"/>
    </row>
    <row r="1092" spans="2:8" x14ac:dyDescent="0.25">
      <c r="B1092" s="6"/>
      <c r="C1092" s="6"/>
      <c r="D1092" s="6"/>
      <c r="E1092" s="6"/>
      <c r="F1092" s="6"/>
      <c r="G1092" s="6"/>
      <c r="H1092" s="6"/>
    </row>
    <row r="1093" spans="2:8" x14ac:dyDescent="0.25">
      <c r="B1093" s="6"/>
      <c r="C1093" s="6"/>
      <c r="D1093" s="6"/>
      <c r="E1093" s="6"/>
      <c r="F1093" s="6"/>
      <c r="G1093" s="6"/>
      <c r="H1093" s="6"/>
    </row>
    <row r="1094" spans="2:8" x14ac:dyDescent="0.25">
      <c r="B1094" s="6"/>
      <c r="C1094" s="6"/>
      <c r="D1094" s="6"/>
      <c r="E1094" s="6"/>
      <c r="F1094" s="6"/>
      <c r="G1094" s="6"/>
      <c r="H1094" s="6"/>
    </row>
    <row r="1095" spans="2:8" x14ac:dyDescent="0.25">
      <c r="B1095" s="6"/>
      <c r="C1095" s="6"/>
      <c r="D1095" s="6"/>
      <c r="E1095" s="6"/>
      <c r="F1095" s="6"/>
      <c r="G1095" s="6"/>
      <c r="H1095" s="6"/>
    </row>
    <row r="1096" spans="2:8" x14ac:dyDescent="0.25">
      <c r="B1096" s="6"/>
      <c r="C1096" s="6"/>
      <c r="D1096" s="6"/>
      <c r="E1096" s="6"/>
      <c r="F1096" s="6"/>
      <c r="G1096" s="6"/>
      <c r="H1096" s="6"/>
    </row>
    <row r="1097" spans="2:8" x14ac:dyDescent="0.25">
      <c r="B1097" s="6"/>
      <c r="C1097" s="6"/>
      <c r="D1097" s="6"/>
      <c r="E1097" s="6"/>
      <c r="F1097" s="6"/>
      <c r="G1097" s="6"/>
      <c r="H1097" s="6"/>
    </row>
    <row r="1098" spans="2:8" x14ac:dyDescent="0.25">
      <c r="B1098" s="6"/>
      <c r="C1098" s="6"/>
      <c r="D1098" s="6"/>
      <c r="E1098" s="6"/>
      <c r="F1098" s="6"/>
      <c r="G1098" s="6"/>
      <c r="H1098" s="6"/>
    </row>
    <row r="1099" spans="2:8" x14ac:dyDescent="0.25">
      <c r="B1099" s="6"/>
      <c r="C1099" s="6"/>
      <c r="D1099" s="6"/>
      <c r="E1099" s="6"/>
      <c r="F1099" s="6"/>
      <c r="G1099" s="6"/>
      <c r="H1099" s="6"/>
    </row>
    <row r="1100" spans="2:8" x14ac:dyDescent="0.25">
      <c r="B1100" s="6"/>
      <c r="C1100" s="6"/>
      <c r="D1100" s="6"/>
      <c r="E1100" s="6"/>
      <c r="F1100" s="6"/>
      <c r="G1100" s="6"/>
      <c r="H1100" s="6"/>
    </row>
    <row r="1101" spans="2:8" x14ac:dyDescent="0.25">
      <c r="B1101" s="6"/>
      <c r="C1101" s="6"/>
      <c r="D1101" s="6"/>
      <c r="E1101" s="6"/>
      <c r="F1101" s="6"/>
      <c r="G1101" s="6"/>
      <c r="H1101" s="6"/>
    </row>
    <row r="1102" spans="2:8" x14ac:dyDescent="0.25">
      <c r="B1102" s="6"/>
      <c r="C1102" s="6"/>
      <c r="D1102" s="6"/>
      <c r="E1102" s="6"/>
      <c r="F1102" s="6"/>
      <c r="G1102" s="6"/>
      <c r="H1102" s="6"/>
    </row>
    <row r="1103" spans="2:8" x14ac:dyDescent="0.25">
      <c r="B1103" s="6"/>
      <c r="C1103" s="6"/>
      <c r="D1103" s="6"/>
      <c r="E1103" s="6"/>
      <c r="F1103" s="6"/>
      <c r="G1103" s="6"/>
      <c r="H1103" s="6"/>
    </row>
    <row r="1104" spans="2:8" x14ac:dyDescent="0.25">
      <c r="B1104" s="6"/>
      <c r="C1104" s="6"/>
      <c r="D1104" s="6"/>
      <c r="E1104" s="6"/>
      <c r="F1104" s="6"/>
      <c r="G1104" s="6"/>
      <c r="H1104" s="6"/>
    </row>
    <row r="1105" spans="2:8" x14ac:dyDescent="0.25">
      <c r="B1105" s="6"/>
      <c r="C1105" s="6"/>
      <c r="D1105" s="6"/>
      <c r="E1105" s="6"/>
      <c r="F1105" s="6"/>
      <c r="G1105" s="6"/>
      <c r="H1105" s="6"/>
    </row>
    <row r="1106" spans="2:8" x14ac:dyDescent="0.25">
      <c r="B1106" s="6"/>
      <c r="C1106" s="6"/>
      <c r="D1106" s="6"/>
      <c r="E1106" s="6"/>
      <c r="F1106" s="6"/>
      <c r="G1106" s="6"/>
      <c r="H1106" s="6"/>
    </row>
    <row r="1107" spans="2:8" x14ac:dyDescent="0.25">
      <c r="B1107" s="6"/>
      <c r="C1107" s="6"/>
      <c r="D1107" s="6"/>
      <c r="E1107" s="6"/>
      <c r="F1107" s="6"/>
      <c r="G1107" s="6"/>
      <c r="H1107" s="6"/>
    </row>
    <row r="1108" spans="2:8" x14ac:dyDescent="0.25">
      <c r="B1108" s="6"/>
      <c r="C1108" s="6"/>
      <c r="D1108" s="6"/>
      <c r="E1108" s="6"/>
      <c r="F1108" s="6"/>
      <c r="G1108" s="6"/>
      <c r="H1108" s="6"/>
    </row>
    <row r="1109" spans="2:8" x14ac:dyDescent="0.25">
      <c r="B1109" s="6"/>
      <c r="C1109" s="6"/>
      <c r="D1109" s="6"/>
      <c r="E1109" s="6"/>
      <c r="F1109" s="6"/>
      <c r="G1109" s="6"/>
      <c r="H1109" s="6"/>
    </row>
    <row r="1110" spans="2:8" x14ac:dyDescent="0.25">
      <c r="B1110" s="6"/>
      <c r="C1110" s="6"/>
      <c r="D1110" s="6"/>
      <c r="E1110" s="6"/>
      <c r="F1110" s="6"/>
      <c r="G1110" s="6"/>
      <c r="H1110" s="6"/>
    </row>
    <row r="1111" spans="2:8" x14ac:dyDescent="0.25">
      <c r="B1111" s="6"/>
      <c r="C1111" s="6"/>
      <c r="D1111" s="6"/>
      <c r="E1111" s="6"/>
      <c r="F1111" s="6"/>
      <c r="G1111" s="6"/>
      <c r="H1111" s="6"/>
    </row>
    <row r="1112" spans="2:8" x14ac:dyDescent="0.25">
      <c r="B1112" s="6"/>
      <c r="C1112" s="6"/>
      <c r="D1112" s="6"/>
      <c r="E1112" s="6"/>
      <c r="F1112" s="6"/>
      <c r="G1112" s="6"/>
      <c r="H1112" s="6"/>
    </row>
    <row r="1113" spans="2:8" x14ac:dyDescent="0.25">
      <c r="B1113" s="6"/>
      <c r="C1113" s="6"/>
      <c r="D1113" s="6"/>
      <c r="E1113" s="6"/>
      <c r="F1113" s="6"/>
      <c r="G1113" s="6"/>
      <c r="H1113" s="6"/>
    </row>
    <row r="1114" spans="2:8" x14ac:dyDescent="0.25">
      <c r="B1114" s="6"/>
      <c r="C1114" s="6"/>
      <c r="D1114" s="6"/>
      <c r="E1114" s="6"/>
      <c r="F1114" s="6"/>
      <c r="G1114" s="6"/>
      <c r="H1114" s="6"/>
    </row>
    <row r="1115" spans="2:8" x14ac:dyDescent="0.25">
      <c r="B1115" s="6"/>
      <c r="C1115" s="6"/>
      <c r="D1115" s="6"/>
      <c r="E1115" s="6"/>
      <c r="F1115" s="6"/>
      <c r="G1115" s="6"/>
      <c r="H1115" s="6"/>
    </row>
    <row r="1116" spans="2:8" x14ac:dyDescent="0.25">
      <c r="B1116" s="6"/>
      <c r="C1116" s="6"/>
      <c r="D1116" s="6"/>
      <c r="E1116" s="6"/>
      <c r="F1116" s="6"/>
      <c r="G1116" s="6"/>
      <c r="H1116" s="6"/>
    </row>
    <row r="1117" spans="2:8" x14ac:dyDescent="0.25">
      <c r="B1117" s="6"/>
      <c r="C1117" s="6"/>
      <c r="D1117" s="6"/>
      <c r="E1117" s="6"/>
      <c r="F1117" s="6"/>
      <c r="G1117" s="6"/>
      <c r="H1117" s="6"/>
    </row>
    <row r="1118" spans="2:8" x14ac:dyDescent="0.25">
      <c r="B1118" s="6"/>
      <c r="C1118" s="6"/>
      <c r="D1118" s="6"/>
      <c r="E1118" s="6"/>
      <c r="F1118" s="6"/>
      <c r="G1118" s="6"/>
      <c r="H1118" s="6"/>
    </row>
    <row r="1119" spans="2:8" x14ac:dyDescent="0.25">
      <c r="B1119" s="6"/>
      <c r="C1119" s="6"/>
      <c r="D1119" s="6"/>
      <c r="E1119" s="6"/>
      <c r="F1119" s="6"/>
      <c r="G1119" s="6"/>
      <c r="H1119" s="6"/>
    </row>
    <row r="1120" spans="2:8" x14ac:dyDescent="0.25">
      <c r="B1120" s="6"/>
      <c r="C1120" s="6"/>
      <c r="D1120" s="6"/>
      <c r="E1120" s="6"/>
      <c r="F1120" s="6"/>
      <c r="G1120" s="6"/>
      <c r="H1120" s="6"/>
    </row>
    <row r="1121" spans="2:8" x14ac:dyDescent="0.25">
      <c r="B1121" s="6"/>
      <c r="C1121" s="6"/>
      <c r="D1121" s="6"/>
      <c r="E1121" s="6"/>
      <c r="F1121" s="6"/>
      <c r="G1121" s="6"/>
      <c r="H1121" s="6"/>
    </row>
    <row r="1122" spans="2:8" x14ac:dyDescent="0.25">
      <c r="B1122" s="6"/>
      <c r="C1122" s="6"/>
      <c r="D1122" s="6"/>
      <c r="E1122" s="6"/>
      <c r="F1122" s="6"/>
      <c r="G1122" s="6"/>
      <c r="H1122" s="6"/>
    </row>
    <row r="1123" spans="2:8" x14ac:dyDescent="0.25">
      <c r="B1123" s="6"/>
      <c r="C1123" s="6"/>
      <c r="D1123" s="6"/>
      <c r="E1123" s="6"/>
      <c r="F1123" s="6"/>
      <c r="G1123" s="6"/>
      <c r="H1123" s="6"/>
    </row>
    <row r="1124" spans="2:8" x14ac:dyDescent="0.25">
      <c r="B1124" s="6"/>
      <c r="C1124" s="6"/>
      <c r="D1124" s="6"/>
      <c r="E1124" s="6"/>
      <c r="F1124" s="6"/>
      <c r="G1124" s="6"/>
      <c r="H1124" s="6"/>
    </row>
    <row r="1125" spans="2:8" x14ac:dyDescent="0.25">
      <c r="B1125" s="6"/>
      <c r="C1125" s="6"/>
      <c r="D1125" s="6"/>
      <c r="E1125" s="6"/>
      <c r="F1125" s="6"/>
      <c r="G1125" s="6"/>
      <c r="H1125" s="6"/>
    </row>
    <row r="1126" spans="2:8" x14ac:dyDescent="0.25">
      <c r="B1126" s="6"/>
      <c r="C1126" s="6"/>
      <c r="D1126" s="6"/>
      <c r="E1126" s="6"/>
      <c r="F1126" s="6"/>
      <c r="G1126" s="6"/>
      <c r="H1126" s="6"/>
    </row>
    <row r="1127" spans="2:8" x14ac:dyDescent="0.25">
      <c r="B1127" s="6"/>
      <c r="C1127" s="6"/>
      <c r="D1127" s="6"/>
      <c r="E1127" s="6"/>
      <c r="F1127" s="6"/>
      <c r="G1127" s="6"/>
      <c r="H1127" s="6"/>
    </row>
    <row r="1128" spans="2:8" x14ac:dyDescent="0.25">
      <c r="B1128" s="6"/>
      <c r="C1128" s="6"/>
      <c r="D1128" s="6"/>
      <c r="E1128" s="6"/>
      <c r="F1128" s="6"/>
      <c r="G1128" s="6"/>
      <c r="H1128" s="6"/>
    </row>
    <row r="1129" spans="2:8" x14ac:dyDescent="0.25">
      <c r="B1129" s="6"/>
      <c r="C1129" s="6"/>
      <c r="D1129" s="6"/>
      <c r="E1129" s="6"/>
      <c r="F1129" s="6"/>
      <c r="G1129" s="6"/>
      <c r="H1129" s="6"/>
    </row>
    <row r="1130" spans="2:8" x14ac:dyDescent="0.25">
      <c r="B1130" s="6"/>
      <c r="C1130" s="6"/>
      <c r="D1130" s="6"/>
      <c r="E1130" s="6"/>
      <c r="F1130" s="6"/>
      <c r="G1130" s="6"/>
      <c r="H1130" s="6"/>
    </row>
    <row r="1131" spans="2:8" x14ac:dyDescent="0.25">
      <c r="B1131" s="6"/>
      <c r="C1131" s="6"/>
      <c r="D1131" s="6"/>
      <c r="E1131" s="6"/>
      <c r="F1131" s="6"/>
      <c r="G1131" s="6"/>
      <c r="H1131" s="6"/>
    </row>
    <row r="1132" spans="2:8" x14ac:dyDescent="0.25">
      <c r="B1132" s="6"/>
      <c r="C1132" s="6"/>
      <c r="D1132" s="6"/>
      <c r="E1132" s="6"/>
      <c r="F1132" s="6"/>
      <c r="G1132" s="6"/>
      <c r="H1132" s="6"/>
    </row>
    <row r="1133" spans="2:8" x14ac:dyDescent="0.25">
      <c r="B1133" s="6"/>
      <c r="C1133" s="6"/>
      <c r="D1133" s="6"/>
      <c r="E1133" s="6"/>
      <c r="F1133" s="6"/>
      <c r="G1133" s="6"/>
      <c r="H1133" s="6"/>
    </row>
    <row r="1134" spans="2:8" x14ac:dyDescent="0.25">
      <c r="B1134" s="6"/>
      <c r="C1134" s="6"/>
      <c r="D1134" s="6"/>
      <c r="E1134" s="6"/>
      <c r="F1134" s="6"/>
      <c r="G1134" s="6"/>
      <c r="H1134" s="6"/>
    </row>
    <row r="1135" spans="2:8" x14ac:dyDescent="0.25">
      <c r="B1135" s="6"/>
      <c r="C1135" s="6"/>
      <c r="D1135" s="6"/>
      <c r="E1135" s="6"/>
      <c r="F1135" s="6"/>
      <c r="G1135" s="6"/>
      <c r="H1135" s="6"/>
    </row>
    <row r="1136" spans="2:8" x14ac:dyDescent="0.25">
      <c r="B1136" s="6"/>
      <c r="C1136" s="6"/>
      <c r="D1136" s="6"/>
      <c r="E1136" s="6"/>
      <c r="F1136" s="6"/>
      <c r="G1136" s="6"/>
      <c r="H1136" s="6"/>
    </row>
    <row r="1137" spans="2:8" x14ac:dyDescent="0.25">
      <c r="B1137" s="6"/>
      <c r="C1137" s="6"/>
      <c r="D1137" s="6"/>
      <c r="E1137" s="6"/>
      <c r="F1137" s="6"/>
      <c r="G1137" s="6"/>
      <c r="H1137" s="6"/>
    </row>
    <row r="1138" spans="2:8" x14ac:dyDescent="0.25">
      <c r="B1138" s="6"/>
      <c r="C1138" s="6"/>
      <c r="D1138" s="6"/>
      <c r="E1138" s="6"/>
      <c r="F1138" s="6"/>
      <c r="G1138" s="6"/>
      <c r="H1138" s="6"/>
    </row>
    <row r="1139" spans="2:8" x14ac:dyDescent="0.25">
      <c r="B1139" s="6"/>
      <c r="C1139" s="6"/>
      <c r="D1139" s="6"/>
      <c r="E1139" s="6"/>
      <c r="F1139" s="6"/>
      <c r="G1139" s="6"/>
      <c r="H1139" s="6"/>
    </row>
    <row r="1140" spans="2:8" x14ac:dyDescent="0.25">
      <c r="B1140" s="6"/>
      <c r="C1140" s="6"/>
      <c r="D1140" s="6"/>
      <c r="E1140" s="6"/>
      <c r="F1140" s="6"/>
      <c r="G1140" s="6"/>
      <c r="H1140" s="6"/>
    </row>
    <row r="1141" spans="2:8" x14ac:dyDescent="0.25">
      <c r="B1141" s="6"/>
      <c r="C1141" s="6"/>
      <c r="D1141" s="6"/>
      <c r="E1141" s="6"/>
      <c r="F1141" s="6"/>
      <c r="G1141" s="6"/>
      <c r="H1141" s="6"/>
    </row>
    <row r="1142" spans="2:8" x14ac:dyDescent="0.25">
      <c r="B1142" s="6"/>
      <c r="C1142" s="6"/>
      <c r="D1142" s="6"/>
      <c r="E1142" s="6"/>
      <c r="F1142" s="6"/>
      <c r="G1142" s="6"/>
      <c r="H1142" s="6"/>
    </row>
    <row r="1143" spans="2:8" x14ac:dyDescent="0.25">
      <c r="B1143" s="6"/>
      <c r="C1143" s="6"/>
      <c r="D1143" s="6"/>
      <c r="E1143" s="6"/>
      <c r="F1143" s="6"/>
      <c r="G1143" s="6"/>
      <c r="H1143" s="6"/>
    </row>
    <row r="1144" spans="2:8" x14ac:dyDescent="0.25">
      <c r="B1144" s="6"/>
      <c r="C1144" s="6"/>
      <c r="D1144" s="6"/>
      <c r="E1144" s="6"/>
      <c r="F1144" s="6"/>
      <c r="G1144" s="6"/>
      <c r="H1144" s="6"/>
    </row>
    <row r="1145" spans="2:8" x14ac:dyDescent="0.25">
      <c r="B1145" s="6"/>
      <c r="C1145" s="6"/>
      <c r="D1145" s="6"/>
      <c r="E1145" s="6"/>
      <c r="F1145" s="6"/>
      <c r="G1145" s="6"/>
      <c r="H1145" s="6"/>
    </row>
    <row r="1146" spans="2:8" x14ac:dyDescent="0.25">
      <c r="B1146" s="6"/>
      <c r="C1146" s="6"/>
      <c r="D1146" s="6"/>
      <c r="E1146" s="6"/>
      <c r="F1146" s="6"/>
      <c r="G1146" s="6"/>
      <c r="H1146" s="6"/>
    </row>
    <row r="1147" spans="2:8" x14ac:dyDescent="0.25">
      <c r="B1147" s="6"/>
      <c r="C1147" s="6"/>
      <c r="D1147" s="6"/>
      <c r="E1147" s="6"/>
      <c r="F1147" s="6"/>
      <c r="G1147" s="6"/>
      <c r="H1147" s="6"/>
    </row>
    <row r="1148" spans="2:8" x14ac:dyDescent="0.25">
      <c r="B1148" s="6"/>
      <c r="C1148" s="6"/>
      <c r="D1148" s="6"/>
      <c r="E1148" s="6"/>
      <c r="F1148" s="6"/>
      <c r="G1148" s="6"/>
      <c r="H1148" s="6"/>
    </row>
    <row r="1149" spans="2:8" x14ac:dyDescent="0.25">
      <c r="B1149" s="6"/>
      <c r="C1149" s="6"/>
      <c r="D1149" s="6"/>
      <c r="E1149" s="6"/>
      <c r="F1149" s="6"/>
      <c r="G1149" s="6"/>
      <c r="H1149" s="6"/>
    </row>
    <row r="1150" spans="2:8" x14ac:dyDescent="0.25">
      <c r="B1150" s="6"/>
      <c r="C1150" s="6"/>
      <c r="D1150" s="6"/>
      <c r="E1150" s="6"/>
      <c r="F1150" s="6"/>
      <c r="G1150" s="6"/>
      <c r="H1150" s="6"/>
    </row>
    <row r="1151" spans="2:8" x14ac:dyDescent="0.25">
      <c r="B1151" s="6"/>
      <c r="C1151" s="6"/>
      <c r="D1151" s="6"/>
      <c r="E1151" s="6"/>
      <c r="F1151" s="6"/>
      <c r="G1151" s="6"/>
      <c r="H1151" s="6"/>
    </row>
    <row r="1152" spans="2:8" x14ac:dyDescent="0.25">
      <c r="B1152" s="6"/>
      <c r="C1152" s="6"/>
      <c r="D1152" s="6"/>
      <c r="E1152" s="6"/>
      <c r="F1152" s="6"/>
      <c r="G1152" s="6"/>
      <c r="H1152" s="6"/>
    </row>
    <row r="1153" spans="2:8" x14ac:dyDescent="0.25">
      <c r="B1153" s="6"/>
      <c r="C1153" s="6"/>
      <c r="D1153" s="6"/>
      <c r="E1153" s="6"/>
      <c r="F1153" s="6"/>
      <c r="G1153" s="6"/>
      <c r="H1153" s="6"/>
    </row>
    <row r="1154" spans="2:8" x14ac:dyDescent="0.25">
      <c r="B1154" s="6"/>
      <c r="C1154" s="6"/>
      <c r="D1154" s="6"/>
      <c r="E1154" s="6"/>
      <c r="F1154" s="6"/>
      <c r="G1154" s="6"/>
      <c r="H1154" s="6"/>
    </row>
    <row r="1155" spans="2:8" x14ac:dyDescent="0.25">
      <c r="B1155" s="6"/>
      <c r="C1155" s="6"/>
      <c r="D1155" s="6"/>
      <c r="E1155" s="6"/>
      <c r="F1155" s="6"/>
      <c r="G1155" s="6"/>
      <c r="H1155" s="6"/>
    </row>
    <row r="1156" spans="2:8" x14ac:dyDescent="0.25">
      <c r="B1156" s="6"/>
      <c r="C1156" s="6"/>
      <c r="D1156" s="6"/>
      <c r="E1156" s="6"/>
      <c r="F1156" s="6"/>
      <c r="G1156" s="6"/>
      <c r="H1156" s="6"/>
    </row>
    <row r="1157" spans="2:8" x14ac:dyDescent="0.25">
      <c r="B1157" s="6"/>
      <c r="C1157" s="6"/>
      <c r="D1157" s="6"/>
      <c r="E1157" s="6"/>
      <c r="F1157" s="6"/>
      <c r="G1157" s="6"/>
      <c r="H1157" s="6"/>
    </row>
    <row r="1158" spans="2:8" x14ac:dyDescent="0.25">
      <c r="B1158" s="6"/>
      <c r="C1158" s="6"/>
      <c r="D1158" s="6"/>
      <c r="E1158" s="6"/>
      <c r="F1158" s="6"/>
      <c r="G1158" s="6"/>
      <c r="H1158" s="6"/>
    </row>
    <row r="1159" spans="2:8" x14ac:dyDescent="0.25">
      <c r="B1159" s="6"/>
      <c r="C1159" s="6"/>
      <c r="D1159" s="6"/>
      <c r="E1159" s="6"/>
      <c r="F1159" s="6"/>
      <c r="G1159" s="6"/>
      <c r="H1159" s="6"/>
    </row>
    <row r="1160" spans="2:8" x14ac:dyDescent="0.25">
      <c r="B1160" s="6"/>
      <c r="C1160" s="6"/>
      <c r="D1160" s="6"/>
      <c r="E1160" s="6"/>
      <c r="F1160" s="6"/>
      <c r="G1160" s="6"/>
      <c r="H1160" s="6"/>
    </row>
    <row r="1161" spans="2:8" x14ac:dyDescent="0.25">
      <c r="B1161" s="6"/>
      <c r="C1161" s="6"/>
      <c r="D1161" s="6"/>
      <c r="E1161" s="6"/>
      <c r="F1161" s="6"/>
      <c r="G1161" s="6"/>
      <c r="H1161" s="6"/>
    </row>
    <row r="1162" spans="2:8" x14ac:dyDescent="0.25">
      <c r="B1162" s="6"/>
      <c r="C1162" s="6"/>
      <c r="D1162" s="6"/>
      <c r="E1162" s="6"/>
      <c r="F1162" s="6"/>
      <c r="G1162" s="6"/>
      <c r="H1162" s="6"/>
    </row>
    <row r="1163" spans="2:8" x14ac:dyDescent="0.25">
      <c r="B1163" s="6"/>
      <c r="C1163" s="6"/>
      <c r="D1163" s="6"/>
      <c r="E1163" s="6"/>
      <c r="F1163" s="6"/>
      <c r="G1163" s="6"/>
      <c r="H1163" s="6"/>
    </row>
    <row r="1164" spans="2:8" x14ac:dyDescent="0.25">
      <c r="B1164" s="6"/>
      <c r="C1164" s="6"/>
      <c r="D1164" s="6"/>
      <c r="E1164" s="6"/>
      <c r="F1164" s="6"/>
      <c r="G1164" s="6"/>
      <c r="H1164" s="6"/>
    </row>
    <row r="1165" spans="2:8" x14ac:dyDescent="0.25">
      <c r="B1165" s="6"/>
      <c r="C1165" s="6"/>
      <c r="D1165" s="6"/>
      <c r="E1165" s="6"/>
      <c r="F1165" s="6"/>
      <c r="G1165" s="6"/>
      <c r="H1165" s="6"/>
    </row>
    <row r="1166" spans="2:8" x14ac:dyDescent="0.25">
      <c r="B1166" s="6"/>
      <c r="C1166" s="6"/>
      <c r="D1166" s="6"/>
      <c r="E1166" s="6"/>
      <c r="F1166" s="6"/>
      <c r="G1166" s="6"/>
      <c r="H1166" s="6"/>
    </row>
    <row r="1167" spans="2:8" x14ac:dyDescent="0.25">
      <c r="B1167" s="6"/>
      <c r="C1167" s="6"/>
      <c r="D1167" s="6"/>
      <c r="E1167" s="6"/>
      <c r="F1167" s="6"/>
      <c r="G1167" s="6"/>
      <c r="H1167" s="6"/>
    </row>
    <row r="1168" spans="2:8" x14ac:dyDescent="0.25">
      <c r="B1168" s="6"/>
      <c r="C1168" s="6"/>
      <c r="D1168" s="6"/>
      <c r="E1168" s="6"/>
      <c r="F1168" s="6"/>
      <c r="G1168" s="6"/>
      <c r="H1168" s="6"/>
    </row>
    <row r="1169" spans="2:8" x14ac:dyDescent="0.25">
      <c r="B1169" s="6"/>
      <c r="C1169" s="6"/>
      <c r="D1169" s="6"/>
      <c r="E1169" s="6"/>
      <c r="F1169" s="6"/>
      <c r="G1169" s="6"/>
      <c r="H1169" s="6"/>
    </row>
    <row r="1170" spans="2:8" x14ac:dyDescent="0.25">
      <c r="B1170" s="6"/>
      <c r="C1170" s="6"/>
      <c r="D1170" s="6"/>
      <c r="E1170" s="6"/>
      <c r="F1170" s="6"/>
      <c r="G1170" s="6"/>
      <c r="H1170" s="6"/>
    </row>
    <row r="1171" spans="2:8" x14ac:dyDescent="0.25">
      <c r="B1171" s="6"/>
      <c r="C1171" s="6"/>
      <c r="D1171" s="6"/>
      <c r="E1171" s="6"/>
      <c r="F1171" s="6"/>
      <c r="G1171" s="6"/>
      <c r="H1171" s="6"/>
    </row>
    <row r="1172" spans="2:8" x14ac:dyDescent="0.25">
      <c r="B1172" s="6"/>
      <c r="C1172" s="6"/>
      <c r="D1172" s="6"/>
      <c r="E1172" s="6"/>
      <c r="F1172" s="6"/>
      <c r="G1172" s="6"/>
      <c r="H1172" s="6"/>
    </row>
    <row r="1173" spans="2:8" x14ac:dyDescent="0.25">
      <c r="B1173" s="6"/>
      <c r="C1173" s="6"/>
      <c r="D1173" s="6"/>
      <c r="E1173" s="6"/>
      <c r="F1173" s="6"/>
      <c r="G1173" s="6"/>
      <c r="H1173" s="6"/>
    </row>
    <row r="1174" spans="2:8" x14ac:dyDescent="0.25">
      <c r="B1174" s="6"/>
      <c r="C1174" s="6"/>
      <c r="D1174" s="6"/>
      <c r="E1174" s="6"/>
      <c r="F1174" s="6"/>
      <c r="G1174" s="6"/>
      <c r="H1174" s="6"/>
    </row>
    <row r="1175" spans="2:8" x14ac:dyDescent="0.25">
      <c r="B1175" s="6"/>
      <c r="C1175" s="6"/>
      <c r="D1175" s="6"/>
      <c r="E1175" s="6"/>
      <c r="F1175" s="6"/>
      <c r="G1175" s="6"/>
      <c r="H1175" s="6"/>
    </row>
    <row r="1176" spans="2:8" x14ac:dyDescent="0.25">
      <c r="B1176" s="6"/>
      <c r="C1176" s="6"/>
      <c r="D1176" s="6"/>
      <c r="E1176" s="6"/>
      <c r="F1176" s="6"/>
      <c r="G1176" s="6"/>
      <c r="H1176" s="6"/>
    </row>
    <row r="1177" spans="2:8" x14ac:dyDescent="0.25">
      <c r="B1177" s="6"/>
      <c r="C1177" s="6"/>
      <c r="D1177" s="6"/>
      <c r="E1177" s="6"/>
      <c r="F1177" s="6"/>
      <c r="G1177" s="6"/>
      <c r="H1177" s="6"/>
    </row>
    <row r="1178" spans="2:8" x14ac:dyDescent="0.25">
      <c r="B1178" s="6"/>
      <c r="C1178" s="6"/>
      <c r="D1178" s="6"/>
      <c r="E1178" s="6"/>
      <c r="F1178" s="6"/>
      <c r="G1178" s="6"/>
      <c r="H1178" s="6"/>
    </row>
    <row r="1179" spans="2:8" x14ac:dyDescent="0.25">
      <c r="B1179" s="6"/>
      <c r="C1179" s="6"/>
      <c r="D1179" s="6"/>
      <c r="E1179" s="6"/>
      <c r="F1179" s="6"/>
      <c r="G1179" s="6"/>
      <c r="H1179" s="6"/>
    </row>
    <row r="1180" spans="2:8" x14ac:dyDescent="0.25">
      <c r="B1180" s="6"/>
      <c r="C1180" s="6"/>
      <c r="D1180" s="6"/>
      <c r="E1180" s="6"/>
      <c r="F1180" s="6"/>
      <c r="G1180" s="6"/>
      <c r="H1180" s="6"/>
    </row>
    <row r="1181" spans="2:8" x14ac:dyDescent="0.25">
      <c r="B1181" s="6"/>
      <c r="C1181" s="6"/>
      <c r="D1181" s="6"/>
      <c r="E1181" s="6"/>
      <c r="F1181" s="6"/>
      <c r="G1181" s="6"/>
      <c r="H1181" s="6"/>
    </row>
    <row r="1182" spans="2:8" x14ac:dyDescent="0.25">
      <c r="B1182" s="6"/>
      <c r="C1182" s="6"/>
      <c r="D1182" s="6"/>
      <c r="E1182" s="6"/>
      <c r="F1182" s="6"/>
      <c r="G1182" s="6"/>
      <c r="H1182" s="6"/>
    </row>
    <row r="1183" spans="2:8" x14ac:dyDescent="0.25">
      <c r="B1183" s="6"/>
      <c r="C1183" s="6"/>
      <c r="D1183" s="6"/>
      <c r="E1183" s="6"/>
      <c r="F1183" s="6"/>
      <c r="G1183" s="6"/>
      <c r="H1183" s="6"/>
    </row>
    <row r="1184" spans="2:8" x14ac:dyDescent="0.25">
      <c r="B1184" s="6"/>
      <c r="C1184" s="6"/>
      <c r="D1184" s="6"/>
      <c r="E1184" s="6"/>
      <c r="F1184" s="6"/>
      <c r="G1184" s="6"/>
      <c r="H1184" s="6"/>
    </row>
    <row r="1185" spans="2:8" x14ac:dyDescent="0.25">
      <c r="B1185" s="6"/>
      <c r="C1185" s="6"/>
      <c r="D1185" s="6"/>
      <c r="E1185" s="6"/>
      <c r="F1185" s="6"/>
      <c r="G1185" s="6"/>
      <c r="H1185" s="6"/>
    </row>
    <row r="1186" spans="2:8" x14ac:dyDescent="0.25">
      <c r="B1186" s="6"/>
      <c r="C1186" s="6"/>
      <c r="D1186" s="6"/>
      <c r="E1186" s="6"/>
      <c r="F1186" s="6"/>
      <c r="G1186" s="6"/>
      <c r="H1186" s="6"/>
    </row>
    <row r="1187" spans="2:8" x14ac:dyDescent="0.25">
      <c r="B1187" s="6"/>
      <c r="C1187" s="6"/>
      <c r="D1187" s="6"/>
      <c r="E1187" s="6"/>
      <c r="F1187" s="6"/>
      <c r="G1187" s="6"/>
      <c r="H1187" s="6"/>
    </row>
    <row r="1188" spans="2:8" x14ac:dyDescent="0.25">
      <c r="B1188" s="6"/>
      <c r="C1188" s="6"/>
      <c r="D1188" s="6"/>
      <c r="E1188" s="6"/>
      <c r="F1188" s="6"/>
      <c r="G1188" s="6"/>
      <c r="H1188" s="6"/>
    </row>
    <row r="1189" spans="2:8" x14ac:dyDescent="0.25">
      <c r="B1189" s="6"/>
      <c r="C1189" s="6"/>
      <c r="D1189" s="6"/>
      <c r="E1189" s="6"/>
      <c r="F1189" s="6"/>
      <c r="G1189" s="6"/>
      <c r="H1189" s="6"/>
    </row>
    <row r="1190" spans="2:8" x14ac:dyDescent="0.25">
      <c r="B1190" s="6"/>
      <c r="C1190" s="6"/>
      <c r="D1190" s="6"/>
      <c r="E1190" s="6"/>
      <c r="F1190" s="6"/>
      <c r="G1190" s="6"/>
      <c r="H1190" s="6"/>
    </row>
    <row r="1191" spans="2:8" x14ac:dyDescent="0.25">
      <c r="B1191" s="6"/>
      <c r="C1191" s="6"/>
      <c r="D1191" s="6"/>
      <c r="E1191" s="6"/>
      <c r="F1191" s="6"/>
      <c r="G1191" s="6"/>
      <c r="H1191" s="6"/>
    </row>
    <row r="1192" spans="2:8" x14ac:dyDescent="0.25">
      <c r="B1192" s="6"/>
      <c r="C1192" s="6"/>
      <c r="D1192" s="6"/>
      <c r="E1192" s="6"/>
      <c r="F1192" s="6"/>
      <c r="G1192" s="6"/>
      <c r="H1192" s="6"/>
    </row>
    <row r="1193" spans="2:8" x14ac:dyDescent="0.25">
      <c r="B1193" s="6"/>
      <c r="C1193" s="6"/>
      <c r="D1193" s="6"/>
      <c r="E1193" s="6"/>
      <c r="F1193" s="6"/>
      <c r="G1193" s="6"/>
      <c r="H1193" s="6"/>
    </row>
    <row r="1194" spans="2:8" x14ac:dyDescent="0.25">
      <c r="B1194" s="6"/>
      <c r="C1194" s="6"/>
      <c r="D1194" s="6"/>
      <c r="E1194" s="6"/>
      <c r="F1194" s="6"/>
      <c r="G1194" s="6"/>
      <c r="H1194" s="6"/>
    </row>
    <row r="1195" spans="2:8" x14ac:dyDescent="0.25">
      <c r="B1195" s="6"/>
      <c r="C1195" s="6"/>
      <c r="D1195" s="6"/>
      <c r="E1195" s="6"/>
      <c r="F1195" s="6"/>
      <c r="G1195" s="6"/>
      <c r="H1195" s="6"/>
    </row>
    <row r="1196" spans="2:8" x14ac:dyDescent="0.25">
      <c r="B1196" s="6"/>
      <c r="C1196" s="6"/>
      <c r="D1196" s="6"/>
      <c r="E1196" s="6"/>
      <c r="F1196" s="6"/>
      <c r="G1196" s="6"/>
      <c r="H1196" s="6"/>
    </row>
    <row r="1197" spans="2:8" x14ac:dyDescent="0.25">
      <c r="B1197" s="6"/>
      <c r="C1197" s="6"/>
      <c r="D1197" s="6"/>
      <c r="E1197" s="6"/>
      <c r="F1197" s="6"/>
      <c r="G1197" s="6"/>
      <c r="H1197" s="6"/>
    </row>
    <row r="1198" spans="2:8" x14ac:dyDescent="0.25">
      <c r="B1198" s="6"/>
      <c r="C1198" s="6"/>
      <c r="D1198" s="6"/>
      <c r="E1198" s="6"/>
      <c r="F1198" s="6"/>
      <c r="G1198" s="6"/>
      <c r="H1198" s="6"/>
    </row>
    <row r="1199" spans="2:8" x14ac:dyDescent="0.25">
      <c r="B1199" s="6"/>
      <c r="C1199" s="6"/>
      <c r="D1199" s="6"/>
      <c r="E1199" s="6"/>
      <c r="F1199" s="6"/>
      <c r="G1199" s="6"/>
      <c r="H1199" s="6"/>
    </row>
    <row r="1200" spans="2:8" x14ac:dyDescent="0.25">
      <c r="B1200" s="6"/>
      <c r="C1200" s="6"/>
      <c r="D1200" s="6"/>
      <c r="E1200" s="6"/>
      <c r="F1200" s="6"/>
      <c r="G1200" s="6"/>
      <c r="H1200" s="6"/>
    </row>
    <row r="1201" spans="2:8" x14ac:dyDescent="0.25">
      <c r="B1201" s="6"/>
      <c r="C1201" s="6"/>
      <c r="D1201" s="6"/>
      <c r="E1201" s="6"/>
      <c r="F1201" s="6"/>
      <c r="G1201" s="6"/>
      <c r="H1201" s="6"/>
    </row>
    <row r="1202" spans="2:8" x14ac:dyDescent="0.25">
      <c r="B1202" s="6"/>
      <c r="C1202" s="6"/>
      <c r="D1202" s="6"/>
      <c r="E1202" s="6"/>
      <c r="F1202" s="6"/>
      <c r="G1202" s="6"/>
      <c r="H1202" s="6"/>
    </row>
    <row r="1203" spans="2:8" x14ac:dyDescent="0.25">
      <c r="B1203" s="6"/>
      <c r="C1203" s="6"/>
      <c r="D1203" s="6"/>
      <c r="E1203" s="6"/>
      <c r="F1203" s="6"/>
      <c r="G1203" s="6"/>
      <c r="H1203" s="6"/>
    </row>
    <row r="1204" spans="2:8" x14ac:dyDescent="0.25">
      <c r="B1204" s="6"/>
      <c r="C1204" s="6"/>
      <c r="D1204" s="6"/>
      <c r="E1204" s="6"/>
      <c r="F1204" s="6"/>
      <c r="G1204" s="6"/>
      <c r="H1204" s="6"/>
    </row>
    <row r="1205" spans="2:8" x14ac:dyDescent="0.25">
      <c r="B1205" s="6"/>
      <c r="C1205" s="6"/>
      <c r="D1205" s="6"/>
      <c r="E1205" s="6"/>
      <c r="F1205" s="6"/>
      <c r="G1205" s="6"/>
      <c r="H1205" s="6"/>
    </row>
    <row r="1206" spans="2:8" x14ac:dyDescent="0.25">
      <c r="B1206" s="6"/>
      <c r="C1206" s="6"/>
      <c r="D1206" s="6"/>
      <c r="E1206" s="6"/>
      <c r="F1206" s="6"/>
      <c r="G1206" s="6"/>
      <c r="H1206" s="6"/>
    </row>
    <row r="1207" spans="2:8" x14ac:dyDescent="0.25">
      <c r="B1207" s="6"/>
      <c r="C1207" s="6"/>
      <c r="D1207" s="6"/>
      <c r="E1207" s="6"/>
      <c r="F1207" s="6"/>
      <c r="G1207" s="6"/>
      <c r="H1207" s="6"/>
    </row>
    <row r="1208" spans="2:8" x14ac:dyDescent="0.25">
      <c r="B1208" s="6"/>
      <c r="C1208" s="6"/>
      <c r="D1208" s="6"/>
      <c r="E1208" s="6"/>
      <c r="F1208" s="6"/>
      <c r="G1208" s="6"/>
      <c r="H1208" s="6"/>
    </row>
    <row r="1209" spans="2:8" x14ac:dyDescent="0.25">
      <c r="B1209" s="6"/>
      <c r="C1209" s="6"/>
      <c r="D1209" s="6"/>
      <c r="E1209" s="6"/>
      <c r="F1209" s="6"/>
      <c r="G1209" s="6"/>
      <c r="H1209" s="6"/>
    </row>
    <row r="1210" spans="2:8" x14ac:dyDescent="0.25">
      <c r="B1210" s="6"/>
      <c r="C1210" s="6"/>
      <c r="D1210" s="6"/>
      <c r="E1210" s="6"/>
      <c r="F1210" s="6"/>
      <c r="G1210" s="6"/>
      <c r="H1210" s="6"/>
    </row>
    <row r="1211" spans="2:8" x14ac:dyDescent="0.25">
      <c r="B1211" s="6"/>
      <c r="C1211" s="6"/>
      <c r="D1211" s="6"/>
      <c r="E1211" s="6"/>
      <c r="F1211" s="6"/>
      <c r="G1211" s="6"/>
      <c r="H1211" s="6"/>
    </row>
    <row r="1212" spans="2:8" x14ac:dyDescent="0.25">
      <c r="B1212" s="6"/>
      <c r="C1212" s="6"/>
      <c r="D1212" s="6"/>
      <c r="E1212" s="6"/>
      <c r="F1212" s="6"/>
      <c r="G1212" s="6"/>
      <c r="H1212" s="6"/>
    </row>
    <row r="1213" spans="2:8" x14ac:dyDescent="0.25">
      <c r="B1213" s="6"/>
      <c r="C1213" s="6"/>
      <c r="D1213" s="6"/>
      <c r="E1213" s="6"/>
      <c r="F1213" s="6"/>
      <c r="G1213" s="6"/>
      <c r="H1213" s="6"/>
    </row>
    <row r="1214" spans="2:8" x14ac:dyDescent="0.25">
      <c r="B1214" s="6"/>
      <c r="C1214" s="6"/>
      <c r="D1214" s="6"/>
      <c r="E1214" s="6"/>
      <c r="F1214" s="6"/>
      <c r="G1214" s="6"/>
      <c r="H1214" s="6"/>
    </row>
    <row r="1215" spans="2:8" x14ac:dyDescent="0.25">
      <c r="B1215" s="6"/>
      <c r="C1215" s="6"/>
      <c r="D1215" s="6"/>
      <c r="E1215" s="6"/>
      <c r="F1215" s="6"/>
      <c r="G1215" s="6"/>
      <c r="H1215" s="6"/>
    </row>
    <row r="1216" spans="2:8" x14ac:dyDescent="0.25">
      <c r="B1216" s="6"/>
      <c r="C1216" s="6"/>
      <c r="D1216" s="6"/>
      <c r="E1216" s="6"/>
      <c r="F1216" s="6"/>
      <c r="G1216" s="6"/>
      <c r="H1216" s="6"/>
    </row>
    <row r="1217" spans="2:8" x14ac:dyDescent="0.25">
      <c r="B1217" s="6"/>
      <c r="C1217" s="6"/>
      <c r="D1217" s="6"/>
      <c r="E1217" s="6"/>
      <c r="F1217" s="6"/>
      <c r="G1217" s="6"/>
      <c r="H1217" s="6"/>
    </row>
    <row r="1218" spans="2:8" x14ac:dyDescent="0.25">
      <c r="B1218" s="6"/>
      <c r="C1218" s="6"/>
      <c r="D1218" s="6"/>
      <c r="E1218" s="6"/>
      <c r="F1218" s="6"/>
      <c r="G1218" s="6"/>
      <c r="H1218" s="6"/>
    </row>
    <row r="1219" spans="2:8" x14ac:dyDescent="0.25">
      <c r="B1219" s="6"/>
      <c r="C1219" s="6"/>
      <c r="D1219" s="6"/>
      <c r="E1219" s="6"/>
      <c r="F1219" s="6"/>
      <c r="G1219" s="6"/>
      <c r="H1219" s="6"/>
    </row>
    <row r="1220" spans="2:8" x14ac:dyDescent="0.25">
      <c r="B1220" s="6"/>
      <c r="C1220" s="6"/>
      <c r="D1220" s="6"/>
      <c r="E1220" s="6"/>
      <c r="F1220" s="6"/>
      <c r="G1220" s="6"/>
      <c r="H1220" s="6"/>
    </row>
    <row r="1221" spans="2:8" x14ac:dyDescent="0.25">
      <c r="B1221" s="6"/>
      <c r="C1221" s="6"/>
      <c r="D1221" s="6"/>
      <c r="E1221" s="6"/>
      <c r="F1221" s="6"/>
      <c r="G1221" s="6"/>
      <c r="H1221" s="6"/>
    </row>
    <row r="1222" spans="2:8" x14ac:dyDescent="0.25">
      <c r="B1222" s="6"/>
      <c r="C1222" s="6"/>
      <c r="D1222" s="6"/>
      <c r="E1222" s="6"/>
      <c r="F1222" s="6"/>
      <c r="G1222" s="6"/>
      <c r="H1222" s="6"/>
    </row>
    <row r="1223" spans="2:8" x14ac:dyDescent="0.25">
      <c r="B1223" s="6"/>
      <c r="C1223" s="6"/>
      <c r="D1223" s="6"/>
      <c r="E1223" s="6"/>
      <c r="F1223" s="6"/>
      <c r="G1223" s="6"/>
      <c r="H1223" s="6"/>
    </row>
    <row r="1224" spans="2:8" x14ac:dyDescent="0.25">
      <c r="B1224" s="6"/>
      <c r="C1224" s="6"/>
      <c r="D1224" s="6"/>
      <c r="E1224" s="6"/>
      <c r="F1224" s="6"/>
      <c r="G1224" s="6"/>
      <c r="H1224" s="6"/>
    </row>
    <row r="1225" spans="2:8" x14ac:dyDescent="0.25">
      <c r="B1225" s="6"/>
      <c r="C1225" s="6"/>
      <c r="D1225" s="6"/>
      <c r="E1225" s="6"/>
      <c r="F1225" s="6"/>
      <c r="G1225" s="6"/>
      <c r="H1225" s="6"/>
    </row>
    <row r="1226" spans="2:8" x14ac:dyDescent="0.25">
      <c r="B1226" s="6"/>
      <c r="C1226" s="6"/>
      <c r="D1226" s="6"/>
      <c r="E1226" s="6"/>
      <c r="F1226" s="6"/>
      <c r="G1226" s="6"/>
      <c r="H1226" s="6"/>
    </row>
    <row r="1227" spans="2:8" x14ac:dyDescent="0.25">
      <c r="B1227" s="6"/>
      <c r="C1227" s="6"/>
      <c r="D1227" s="6"/>
      <c r="E1227" s="6"/>
      <c r="F1227" s="6"/>
      <c r="G1227" s="6"/>
      <c r="H1227" s="6"/>
    </row>
    <row r="1228" spans="2:8" x14ac:dyDescent="0.25">
      <c r="B1228" s="6"/>
      <c r="C1228" s="6"/>
      <c r="D1228" s="6"/>
      <c r="E1228" s="6"/>
      <c r="F1228" s="6"/>
      <c r="G1228" s="6"/>
      <c r="H1228" s="6"/>
    </row>
    <row r="1229" spans="2:8" x14ac:dyDescent="0.25">
      <c r="B1229" s="6"/>
      <c r="C1229" s="6"/>
      <c r="D1229" s="6"/>
      <c r="E1229" s="6"/>
      <c r="F1229" s="6"/>
      <c r="G1229" s="6"/>
      <c r="H1229" s="6"/>
    </row>
    <row r="1230" spans="2:8" x14ac:dyDescent="0.25">
      <c r="B1230" s="6"/>
      <c r="C1230" s="6"/>
      <c r="D1230" s="6"/>
      <c r="E1230" s="6"/>
      <c r="F1230" s="6"/>
      <c r="G1230" s="6"/>
      <c r="H1230" s="6"/>
    </row>
    <row r="1231" spans="2:8" x14ac:dyDescent="0.25">
      <c r="B1231" s="6"/>
      <c r="C1231" s="6"/>
      <c r="D1231" s="6"/>
      <c r="E1231" s="6"/>
      <c r="F1231" s="6"/>
      <c r="G1231" s="6"/>
      <c r="H1231" s="6"/>
    </row>
    <row r="1232" spans="2:8" x14ac:dyDescent="0.25">
      <c r="B1232" s="6"/>
      <c r="C1232" s="6"/>
      <c r="D1232" s="6"/>
      <c r="E1232" s="6"/>
      <c r="F1232" s="6"/>
      <c r="G1232" s="6"/>
      <c r="H1232" s="6"/>
    </row>
    <row r="1233" spans="2:8" x14ac:dyDescent="0.25">
      <c r="B1233" s="6"/>
      <c r="C1233" s="6"/>
      <c r="D1233" s="6"/>
      <c r="E1233" s="6"/>
      <c r="F1233" s="6"/>
      <c r="G1233" s="6"/>
      <c r="H1233" s="6"/>
    </row>
    <row r="1234" spans="2:8" x14ac:dyDescent="0.25">
      <c r="B1234" s="6"/>
      <c r="C1234" s="6"/>
      <c r="D1234" s="6"/>
      <c r="E1234" s="6"/>
      <c r="F1234" s="6"/>
      <c r="G1234" s="6"/>
      <c r="H1234" s="6"/>
    </row>
    <row r="1235" spans="2:8" x14ac:dyDescent="0.25">
      <c r="B1235" s="6"/>
      <c r="C1235" s="6"/>
      <c r="D1235" s="6"/>
      <c r="E1235" s="6"/>
      <c r="F1235" s="6"/>
      <c r="G1235" s="6"/>
      <c r="H1235" s="6"/>
    </row>
    <row r="1236" spans="2:8" x14ac:dyDescent="0.25">
      <c r="B1236" s="6"/>
      <c r="C1236" s="6"/>
      <c r="D1236" s="6"/>
      <c r="E1236" s="6"/>
      <c r="F1236" s="6"/>
      <c r="G1236" s="6"/>
      <c r="H1236" s="6"/>
    </row>
    <row r="1237" spans="2:8" x14ac:dyDescent="0.25">
      <c r="B1237" s="6"/>
      <c r="C1237" s="6"/>
      <c r="D1237" s="6"/>
      <c r="E1237" s="6"/>
      <c r="F1237" s="6"/>
      <c r="G1237" s="6"/>
      <c r="H1237" s="6"/>
    </row>
    <row r="1238" spans="2:8" x14ac:dyDescent="0.25">
      <c r="B1238" s="6"/>
      <c r="C1238" s="6"/>
      <c r="D1238" s="6"/>
      <c r="E1238" s="6"/>
      <c r="F1238" s="6"/>
      <c r="G1238" s="6"/>
      <c r="H1238" s="6"/>
    </row>
    <row r="1239" spans="2:8" x14ac:dyDescent="0.25">
      <c r="B1239" s="6"/>
      <c r="C1239" s="6"/>
      <c r="D1239" s="6"/>
      <c r="E1239" s="6"/>
      <c r="F1239" s="6"/>
      <c r="G1239" s="6"/>
      <c r="H1239" s="6"/>
    </row>
    <row r="1240" spans="2:8" x14ac:dyDescent="0.25">
      <c r="B1240" s="6"/>
      <c r="C1240" s="6"/>
      <c r="D1240" s="6"/>
      <c r="E1240" s="6"/>
      <c r="F1240" s="6"/>
      <c r="G1240" s="6"/>
      <c r="H1240" s="6"/>
    </row>
    <row r="1241" spans="2:8" x14ac:dyDescent="0.25">
      <c r="B1241" s="6"/>
      <c r="C1241" s="6"/>
      <c r="D1241" s="6"/>
      <c r="E1241" s="6"/>
      <c r="F1241" s="6"/>
      <c r="G1241" s="6"/>
      <c r="H1241" s="6"/>
    </row>
    <row r="1242" spans="2:8" x14ac:dyDescent="0.25">
      <c r="B1242" s="6"/>
      <c r="C1242" s="6"/>
      <c r="D1242" s="6"/>
      <c r="E1242" s="6"/>
      <c r="F1242" s="6"/>
      <c r="G1242" s="6"/>
      <c r="H1242" s="6"/>
    </row>
    <row r="1243" spans="2:8" x14ac:dyDescent="0.25">
      <c r="B1243" s="6"/>
      <c r="C1243" s="6"/>
      <c r="D1243" s="6"/>
      <c r="E1243" s="6"/>
      <c r="F1243" s="6"/>
      <c r="G1243" s="6"/>
      <c r="H1243" s="6"/>
    </row>
    <row r="1244" spans="2:8" x14ac:dyDescent="0.25">
      <c r="B1244" s="6"/>
      <c r="C1244" s="6"/>
      <c r="D1244" s="6"/>
      <c r="E1244" s="6"/>
      <c r="F1244" s="6"/>
      <c r="G1244" s="6"/>
      <c r="H1244" s="6"/>
    </row>
    <row r="1245" spans="2:8" x14ac:dyDescent="0.25">
      <c r="B1245" s="6"/>
      <c r="C1245" s="6"/>
      <c r="D1245" s="6"/>
      <c r="E1245" s="6"/>
      <c r="F1245" s="6"/>
      <c r="G1245" s="6"/>
      <c r="H1245" s="6"/>
    </row>
    <row r="1246" spans="2:8" x14ac:dyDescent="0.25">
      <c r="B1246" s="6"/>
      <c r="C1246" s="6"/>
      <c r="D1246" s="6"/>
      <c r="E1246" s="6"/>
      <c r="F1246" s="6"/>
      <c r="G1246" s="6"/>
      <c r="H1246" s="6"/>
    </row>
    <row r="1247" spans="2:8" x14ac:dyDescent="0.25">
      <c r="B1247" s="6"/>
      <c r="C1247" s="6"/>
      <c r="D1247" s="6"/>
      <c r="E1247" s="6"/>
      <c r="F1247" s="6"/>
      <c r="G1247" s="6"/>
      <c r="H1247" s="6"/>
    </row>
    <row r="1248" spans="2:8" x14ac:dyDescent="0.25">
      <c r="B1248" s="6"/>
      <c r="C1248" s="6"/>
      <c r="D1248" s="6"/>
      <c r="E1248" s="6"/>
      <c r="F1248" s="6"/>
      <c r="G1248" s="6"/>
      <c r="H1248" s="6"/>
    </row>
    <row r="1249" spans="2:8" x14ac:dyDescent="0.25">
      <c r="B1249" s="6"/>
      <c r="C1249" s="6"/>
      <c r="D1249" s="6"/>
      <c r="E1249" s="6"/>
      <c r="F1249" s="6"/>
      <c r="G1249" s="6"/>
      <c r="H1249" s="6"/>
    </row>
    <row r="1250" spans="2:8" x14ac:dyDescent="0.25">
      <c r="B1250" s="6"/>
      <c r="C1250" s="6"/>
      <c r="D1250" s="6"/>
      <c r="E1250" s="6"/>
      <c r="F1250" s="6"/>
      <c r="G1250" s="6"/>
      <c r="H1250" s="6"/>
    </row>
    <row r="1251" spans="2:8" x14ac:dyDescent="0.25">
      <c r="B1251" s="6"/>
      <c r="C1251" s="6"/>
      <c r="D1251" s="6"/>
      <c r="E1251" s="6"/>
      <c r="F1251" s="6"/>
      <c r="G1251" s="6"/>
      <c r="H1251" s="6"/>
    </row>
    <row r="1252" spans="2:8" x14ac:dyDescent="0.25">
      <c r="B1252" s="6"/>
      <c r="C1252" s="6"/>
      <c r="D1252" s="6"/>
      <c r="E1252" s="6"/>
      <c r="F1252" s="6"/>
      <c r="G1252" s="6"/>
      <c r="H1252" s="6"/>
    </row>
    <row r="1253" spans="2:8" x14ac:dyDescent="0.25">
      <c r="B1253" s="6"/>
      <c r="C1253" s="6"/>
      <c r="D1253" s="6"/>
      <c r="E1253" s="6"/>
      <c r="F1253" s="6"/>
      <c r="G1253" s="6"/>
      <c r="H1253" s="6"/>
    </row>
    <row r="1254" spans="2:8" x14ac:dyDescent="0.25">
      <c r="B1254" s="6"/>
      <c r="C1254" s="6"/>
      <c r="D1254" s="6"/>
      <c r="E1254" s="6"/>
      <c r="F1254" s="6"/>
      <c r="G1254" s="6"/>
      <c r="H1254" s="6"/>
    </row>
    <row r="1255" spans="2:8" x14ac:dyDescent="0.25">
      <c r="B1255" s="6"/>
      <c r="C1255" s="6"/>
      <c r="D1255" s="6"/>
      <c r="E1255" s="6"/>
      <c r="F1255" s="6"/>
      <c r="G1255" s="6"/>
      <c r="H1255" s="6"/>
    </row>
    <row r="1256" spans="2:8" x14ac:dyDescent="0.25">
      <c r="B1256" s="6"/>
      <c r="C1256" s="6"/>
      <c r="D1256" s="6"/>
      <c r="E1256" s="6"/>
      <c r="F1256" s="6"/>
      <c r="G1256" s="6"/>
      <c r="H1256" s="6"/>
    </row>
    <row r="1257" spans="2:8" x14ac:dyDescent="0.25">
      <c r="B1257" s="6"/>
      <c r="C1257" s="6"/>
      <c r="D1257" s="6"/>
      <c r="E1257" s="6"/>
      <c r="F1257" s="6"/>
      <c r="G1257" s="6"/>
      <c r="H1257" s="6"/>
    </row>
    <row r="1258" spans="2:8" x14ac:dyDescent="0.25">
      <c r="B1258" s="6"/>
      <c r="C1258" s="6"/>
      <c r="D1258" s="6"/>
      <c r="E1258" s="6"/>
      <c r="F1258" s="6"/>
      <c r="G1258" s="6"/>
      <c r="H1258" s="6"/>
    </row>
    <row r="1259" spans="2:8" x14ac:dyDescent="0.25">
      <c r="B1259" s="6"/>
      <c r="C1259" s="6"/>
      <c r="D1259" s="6"/>
      <c r="E1259" s="6"/>
      <c r="F1259" s="6"/>
      <c r="G1259" s="6"/>
      <c r="H1259" s="6"/>
    </row>
    <row r="1260" spans="2:8" x14ac:dyDescent="0.25">
      <c r="B1260" s="6"/>
      <c r="C1260" s="6"/>
      <c r="D1260" s="6"/>
      <c r="E1260" s="6"/>
      <c r="F1260" s="6"/>
      <c r="G1260" s="6"/>
      <c r="H1260" s="6"/>
    </row>
    <row r="1261" spans="2:8" x14ac:dyDescent="0.25">
      <c r="B1261" s="6"/>
      <c r="C1261" s="6"/>
      <c r="D1261" s="6"/>
      <c r="E1261" s="6"/>
      <c r="F1261" s="6"/>
      <c r="G1261" s="6"/>
      <c r="H1261" s="6"/>
    </row>
    <row r="1262" spans="2:8" x14ac:dyDescent="0.25">
      <c r="B1262" s="6"/>
      <c r="C1262" s="6"/>
      <c r="D1262" s="6"/>
      <c r="E1262" s="6"/>
      <c r="F1262" s="6"/>
      <c r="G1262" s="6"/>
      <c r="H1262" s="6"/>
    </row>
    <row r="1263" spans="2:8" x14ac:dyDescent="0.25">
      <c r="B1263" s="6"/>
      <c r="C1263" s="6"/>
      <c r="D1263" s="6"/>
      <c r="E1263" s="6"/>
      <c r="F1263" s="6"/>
      <c r="G1263" s="6"/>
      <c r="H1263" s="6"/>
    </row>
    <row r="1264" spans="2:8" x14ac:dyDescent="0.25">
      <c r="B1264" s="6"/>
      <c r="C1264" s="6"/>
      <c r="D1264" s="6"/>
      <c r="E1264" s="6"/>
      <c r="F1264" s="6"/>
      <c r="G1264" s="6"/>
      <c r="H1264" s="6"/>
    </row>
    <row r="1265" spans="2:8" x14ac:dyDescent="0.25">
      <c r="B1265" s="6"/>
      <c r="C1265" s="6"/>
      <c r="D1265" s="6"/>
      <c r="E1265" s="6"/>
      <c r="F1265" s="6"/>
      <c r="G1265" s="6"/>
      <c r="H1265" s="6"/>
    </row>
    <row r="1266" spans="2:8" x14ac:dyDescent="0.25">
      <c r="B1266" s="6"/>
      <c r="C1266" s="6"/>
      <c r="D1266" s="6"/>
      <c r="E1266" s="6"/>
      <c r="F1266" s="6"/>
      <c r="G1266" s="6"/>
      <c r="H1266" s="6"/>
    </row>
    <row r="1267" spans="2:8" x14ac:dyDescent="0.25">
      <c r="B1267" s="6"/>
      <c r="C1267" s="6"/>
      <c r="D1267" s="6"/>
      <c r="E1267" s="6"/>
      <c r="F1267" s="6"/>
      <c r="G1267" s="6"/>
      <c r="H1267" s="6"/>
    </row>
    <row r="1268" spans="2:8" x14ac:dyDescent="0.25">
      <c r="B1268" s="6"/>
      <c r="C1268" s="6"/>
      <c r="D1268" s="6"/>
      <c r="E1268" s="6"/>
      <c r="F1268" s="6"/>
      <c r="G1268" s="6"/>
      <c r="H1268" s="6"/>
    </row>
    <row r="1269" spans="2:8" x14ac:dyDescent="0.25">
      <c r="B1269" s="6"/>
      <c r="C1269" s="6"/>
      <c r="D1269" s="6"/>
      <c r="E1269" s="6"/>
      <c r="F1269" s="6"/>
      <c r="G1269" s="6"/>
      <c r="H1269" s="6"/>
    </row>
    <row r="1270" spans="2:8" x14ac:dyDescent="0.25">
      <c r="B1270" s="6"/>
      <c r="C1270" s="6"/>
      <c r="D1270" s="6"/>
      <c r="E1270" s="6"/>
      <c r="F1270" s="6"/>
      <c r="G1270" s="6"/>
      <c r="H1270" s="6"/>
    </row>
    <row r="1271" spans="2:8" x14ac:dyDescent="0.25">
      <c r="B1271" s="6"/>
      <c r="C1271" s="6"/>
      <c r="D1271" s="6"/>
      <c r="E1271" s="6"/>
      <c r="F1271" s="6"/>
      <c r="G1271" s="6"/>
      <c r="H1271" s="6"/>
    </row>
    <row r="1272" spans="2:8" x14ac:dyDescent="0.25">
      <c r="B1272" s="6"/>
      <c r="C1272" s="6"/>
      <c r="D1272" s="6"/>
      <c r="E1272" s="6"/>
      <c r="F1272" s="6"/>
      <c r="G1272" s="6"/>
      <c r="H1272" s="6"/>
    </row>
    <row r="1273" spans="2:8" x14ac:dyDescent="0.25">
      <c r="B1273" s="6"/>
      <c r="C1273" s="6"/>
      <c r="D1273" s="6"/>
      <c r="E1273" s="6"/>
      <c r="F1273" s="6"/>
      <c r="G1273" s="6"/>
      <c r="H1273" s="6"/>
    </row>
    <row r="1274" spans="2:8" x14ac:dyDescent="0.25">
      <c r="B1274" s="6"/>
      <c r="C1274" s="6"/>
      <c r="D1274" s="6"/>
      <c r="E1274" s="6"/>
      <c r="F1274" s="6"/>
      <c r="G1274" s="6"/>
      <c r="H1274" s="6"/>
    </row>
    <row r="1275" spans="2:8" x14ac:dyDescent="0.25">
      <c r="B1275" s="6"/>
      <c r="C1275" s="6"/>
      <c r="D1275" s="6"/>
      <c r="E1275" s="6"/>
      <c r="F1275" s="6"/>
      <c r="G1275" s="6"/>
      <c r="H1275" s="6"/>
    </row>
    <row r="1276" spans="2:8" x14ac:dyDescent="0.25">
      <c r="B1276" s="6"/>
      <c r="C1276" s="6"/>
      <c r="D1276" s="6"/>
      <c r="E1276" s="6"/>
      <c r="F1276" s="6"/>
      <c r="G1276" s="6"/>
      <c r="H1276" s="6"/>
    </row>
    <row r="1277" spans="2:8" x14ac:dyDescent="0.25">
      <c r="B1277" s="6"/>
      <c r="C1277" s="6"/>
      <c r="D1277" s="6"/>
      <c r="E1277" s="6"/>
      <c r="F1277" s="6"/>
      <c r="G1277" s="6"/>
      <c r="H1277" s="6"/>
    </row>
    <row r="1278" spans="2:8" x14ac:dyDescent="0.25">
      <c r="B1278" s="6"/>
      <c r="C1278" s="6"/>
      <c r="D1278" s="6"/>
      <c r="E1278" s="6"/>
      <c r="F1278" s="6"/>
      <c r="G1278" s="6"/>
      <c r="H1278" s="6"/>
    </row>
    <row r="1279" spans="2:8" x14ac:dyDescent="0.25">
      <c r="B1279" s="6"/>
      <c r="C1279" s="6"/>
      <c r="D1279" s="6"/>
      <c r="E1279" s="6"/>
      <c r="F1279" s="6"/>
      <c r="G1279" s="6"/>
      <c r="H1279" s="6"/>
    </row>
    <row r="1280" spans="2:8" x14ac:dyDescent="0.25">
      <c r="B1280" s="6"/>
      <c r="C1280" s="6"/>
      <c r="D1280" s="6"/>
      <c r="E1280" s="6"/>
      <c r="F1280" s="6"/>
      <c r="G1280" s="6"/>
      <c r="H1280" s="6"/>
    </row>
    <row r="1281" spans="2:8" x14ac:dyDescent="0.25">
      <c r="B1281" s="6"/>
      <c r="C1281" s="6"/>
      <c r="D1281" s="6"/>
      <c r="E1281" s="6"/>
      <c r="F1281" s="6"/>
      <c r="G1281" s="6"/>
      <c r="H1281" s="6"/>
    </row>
    <row r="1282" spans="2:8" x14ac:dyDescent="0.25">
      <c r="B1282" s="6"/>
      <c r="C1282" s="6"/>
      <c r="D1282" s="6"/>
      <c r="E1282" s="6"/>
      <c r="F1282" s="6"/>
      <c r="G1282" s="6"/>
      <c r="H1282" s="6"/>
    </row>
    <row r="1283" spans="2:8" x14ac:dyDescent="0.25">
      <c r="B1283" s="6"/>
      <c r="C1283" s="6"/>
      <c r="D1283" s="6"/>
      <c r="E1283" s="6"/>
      <c r="F1283" s="6"/>
      <c r="G1283" s="6"/>
      <c r="H1283" s="6"/>
    </row>
    <row r="1284" spans="2:8" x14ac:dyDescent="0.25">
      <c r="B1284" s="6"/>
      <c r="C1284" s="6"/>
      <c r="D1284" s="6"/>
      <c r="E1284" s="6"/>
      <c r="F1284" s="6"/>
      <c r="G1284" s="6"/>
      <c r="H1284" s="6"/>
    </row>
    <row r="1285" spans="2:8" x14ac:dyDescent="0.25">
      <c r="B1285" s="6"/>
      <c r="C1285" s="6"/>
      <c r="D1285" s="6"/>
      <c r="E1285" s="6"/>
      <c r="F1285" s="6"/>
      <c r="G1285" s="6"/>
      <c r="H1285" s="6"/>
    </row>
    <row r="1286" spans="2:8" x14ac:dyDescent="0.25">
      <c r="B1286" s="6"/>
      <c r="C1286" s="6"/>
      <c r="D1286" s="6"/>
      <c r="E1286" s="6"/>
      <c r="F1286" s="6"/>
      <c r="G1286" s="6"/>
      <c r="H1286" s="6"/>
    </row>
    <row r="1287" spans="2:8" x14ac:dyDescent="0.25">
      <c r="B1287" s="6"/>
      <c r="C1287" s="6"/>
      <c r="D1287" s="6"/>
      <c r="E1287" s="6"/>
      <c r="F1287" s="6"/>
      <c r="G1287" s="6"/>
      <c r="H1287" s="6"/>
    </row>
    <row r="1288" spans="2:8" x14ac:dyDescent="0.25">
      <c r="B1288" s="6"/>
      <c r="C1288" s="6"/>
      <c r="D1288" s="6"/>
      <c r="E1288" s="6"/>
      <c r="F1288" s="6"/>
      <c r="G1288" s="6"/>
      <c r="H1288" s="6"/>
    </row>
    <row r="1289" spans="2:8" x14ac:dyDescent="0.25">
      <c r="B1289" s="6"/>
      <c r="C1289" s="6"/>
      <c r="D1289" s="6"/>
      <c r="E1289" s="6"/>
      <c r="F1289" s="6"/>
      <c r="G1289" s="6"/>
      <c r="H1289" s="6"/>
    </row>
    <row r="1290" spans="2:8" x14ac:dyDescent="0.25">
      <c r="B1290" s="6"/>
      <c r="C1290" s="6"/>
      <c r="D1290" s="6"/>
      <c r="E1290" s="6"/>
      <c r="F1290" s="6"/>
      <c r="G1290" s="6"/>
      <c r="H1290" s="6"/>
    </row>
    <row r="1291" spans="2:8" x14ac:dyDescent="0.25">
      <c r="B1291" s="6"/>
      <c r="C1291" s="6"/>
      <c r="D1291" s="6"/>
      <c r="E1291" s="6"/>
      <c r="F1291" s="6"/>
      <c r="G1291" s="6"/>
      <c r="H1291" s="6"/>
    </row>
    <row r="1292" spans="2:8" x14ac:dyDescent="0.25">
      <c r="B1292" s="6"/>
      <c r="C1292" s="6"/>
      <c r="D1292" s="6"/>
      <c r="E1292" s="6"/>
      <c r="F1292" s="6"/>
      <c r="G1292" s="6"/>
      <c r="H1292" s="6"/>
    </row>
    <row r="1293" spans="2:8" x14ac:dyDescent="0.25">
      <c r="B1293" s="6"/>
      <c r="C1293" s="6"/>
      <c r="D1293" s="6"/>
      <c r="E1293" s="6"/>
      <c r="F1293" s="6"/>
      <c r="G1293" s="6"/>
      <c r="H1293" s="6"/>
    </row>
    <row r="1294" spans="2:8" x14ac:dyDescent="0.25">
      <c r="B1294" s="6"/>
      <c r="C1294" s="6"/>
      <c r="D1294" s="6"/>
      <c r="E1294" s="6"/>
      <c r="F1294" s="6"/>
      <c r="G1294" s="6"/>
      <c r="H1294" s="6"/>
    </row>
    <row r="1295" spans="2:8" x14ac:dyDescent="0.25">
      <c r="B1295" s="6"/>
      <c r="C1295" s="6"/>
      <c r="D1295" s="6"/>
      <c r="E1295" s="6"/>
      <c r="F1295" s="6"/>
      <c r="G1295" s="6"/>
      <c r="H1295" s="6"/>
    </row>
    <row r="1296" spans="2:8" x14ac:dyDescent="0.25">
      <c r="B1296" s="6"/>
      <c r="C1296" s="6"/>
      <c r="D1296" s="6"/>
      <c r="E1296" s="6"/>
      <c r="F1296" s="6"/>
      <c r="G1296" s="6"/>
      <c r="H1296" s="6"/>
    </row>
    <row r="1297" spans="2:8" x14ac:dyDescent="0.25">
      <c r="B1297" s="6"/>
      <c r="C1297" s="6"/>
      <c r="D1297" s="6"/>
      <c r="E1297" s="6"/>
      <c r="F1297" s="6"/>
      <c r="G1297" s="6"/>
      <c r="H1297" s="6"/>
    </row>
    <row r="1298" spans="2:8" x14ac:dyDescent="0.25">
      <c r="B1298" s="6"/>
      <c r="C1298" s="6"/>
      <c r="D1298" s="6"/>
      <c r="E1298" s="6"/>
      <c r="F1298" s="6"/>
      <c r="G1298" s="6"/>
      <c r="H1298" s="6"/>
    </row>
    <row r="1299" spans="2:8" x14ac:dyDescent="0.25">
      <c r="B1299" s="6"/>
      <c r="C1299" s="6"/>
      <c r="D1299" s="6"/>
      <c r="E1299" s="6"/>
      <c r="F1299" s="6"/>
      <c r="G1299" s="6"/>
      <c r="H1299" s="6"/>
    </row>
    <row r="1300" spans="2:8" x14ac:dyDescent="0.25">
      <c r="B1300" s="6"/>
      <c r="C1300" s="6"/>
      <c r="D1300" s="6"/>
      <c r="E1300" s="6"/>
      <c r="F1300" s="6"/>
      <c r="G1300" s="6"/>
      <c r="H1300" s="6"/>
    </row>
    <row r="1301" spans="2:8" x14ac:dyDescent="0.25">
      <c r="B1301" s="6"/>
      <c r="C1301" s="6"/>
      <c r="D1301" s="6"/>
      <c r="E1301" s="6"/>
      <c r="F1301" s="6"/>
      <c r="G1301" s="6"/>
      <c r="H1301" s="6"/>
    </row>
    <row r="1302" spans="2:8" x14ac:dyDescent="0.25">
      <c r="B1302" s="6"/>
      <c r="C1302" s="6"/>
      <c r="D1302" s="6"/>
      <c r="E1302" s="6"/>
      <c r="F1302" s="6"/>
      <c r="G1302" s="6"/>
      <c r="H1302" s="6"/>
    </row>
    <row r="1303" spans="2:8" x14ac:dyDescent="0.25">
      <c r="B1303" s="6"/>
      <c r="C1303" s="6"/>
      <c r="D1303" s="6"/>
      <c r="E1303" s="6"/>
      <c r="F1303" s="6"/>
      <c r="G1303" s="6"/>
      <c r="H1303" s="6"/>
    </row>
    <row r="1304" spans="2:8" x14ac:dyDescent="0.25">
      <c r="B1304" s="6"/>
      <c r="C1304" s="6"/>
      <c r="D1304" s="6"/>
      <c r="E1304" s="6"/>
      <c r="F1304" s="6"/>
      <c r="G1304" s="6"/>
      <c r="H1304" s="6"/>
    </row>
    <row r="1305" spans="2:8" x14ac:dyDescent="0.25">
      <c r="B1305" s="6"/>
      <c r="C1305" s="6"/>
      <c r="D1305" s="6"/>
      <c r="E1305" s="6"/>
      <c r="F1305" s="6"/>
      <c r="G1305" s="6"/>
      <c r="H1305" s="6"/>
    </row>
    <row r="1306" spans="2:8" x14ac:dyDescent="0.25">
      <c r="B1306" s="6"/>
      <c r="C1306" s="6"/>
      <c r="D1306" s="6"/>
      <c r="E1306" s="6"/>
      <c r="F1306" s="6"/>
      <c r="G1306" s="6"/>
      <c r="H1306" s="6"/>
    </row>
    <row r="1307" spans="2:8" x14ac:dyDescent="0.25">
      <c r="B1307" s="6"/>
      <c r="C1307" s="6"/>
      <c r="D1307" s="6"/>
      <c r="E1307" s="6"/>
      <c r="F1307" s="6"/>
      <c r="G1307" s="6"/>
      <c r="H1307" s="6"/>
    </row>
    <row r="1308" spans="2:8" x14ac:dyDescent="0.25">
      <c r="B1308" s="6"/>
      <c r="C1308" s="6"/>
      <c r="D1308" s="6"/>
      <c r="E1308" s="6"/>
      <c r="F1308" s="6"/>
      <c r="G1308" s="6"/>
      <c r="H1308" s="6"/>
    </row>
    <row r="1309" spans="2:8" x14ac:dyDescent="0.25">
      <c r="B1309" s="6"/>
      <c r="C1309" s="6"/>
      <c r="D1309" s="6"/>
      <c r="E1309" s="6"/>
      <c r="F1309" s="6"/>
      <c r="G1309" s="6"/>
      <c r="H1309" s="6"/>
    </row>
    <row r="1310" spans="2:8" x14ac:dyDescent="0.25">
      <c r="B1310" s="6"/>
      <c r="C1310" s="6"/>
      <c r="D1310" s="6"/>
      <c r="E1310" s="6"/>
      <c r="F1310" s="6"/>
      <c r="G1310" s="6"/>
      <c r="H1310" s="6"/>
    </row>
    <row r="1311" spans="2:8" x14ac:dyDescent="0.25">
      <c r="B1311" s="6"/>
      <c r="C1311" s="6"/>
      <c r="D1311" s="6"/>
      <c r="E1311" s="6"/>
      <c r="F1311" s="6"/>
      <c r="G1311" s="6"/>
      <c r="H1311" s="6"/>
    </row>
    <row r="1312" spans="2:8" x14ac:dyDescent="0.25">
      <c r="B1312" s="6"/>
      <c r="C1312" s="6"/>
      <c r="D1312" s="6"/>
      <c r="E1312" s="6"/>
      <c r="F1312" s="6"/>
      <c r="G1312" s="6"/>
      <c r="H1312" s="6"/>
    </row>
    <row r="1313" spans="2:8" x14ac:dyDescent="0.25">
      <c r="B1313" s="6"/>
      <c r="C1313" s="6"/>
      <c r="D1313" s="6"/>
      <c r="E1313" s="6"/>
      <c r="F1313" s="6"/>
      <c r="G1313" s="6"/>
      <c r="H1313" s="6"/>
    </row>
    <row r="1314" spans="2:8" x14ac:dyDescent="0.25">
      <c r="B1314" s="6"/>
      <c r="C1314" s="6"/>
      <c r="D1314" s="6"/>
      <c r="E1314" s="6"/>
      <c r="F1314" s="6"/>
      <c r="G1314" s="6"/>
      <c r="H1314" s="6"/>
    </row>
    <row r="1315" spans="2:8" x14ac:dyDescent="0.25">
      <c r="B1315" s="6"/>
      <c r="C1315" s="6"/>
      <c r="D1315" s="6"/>
      <c r="E1315" s="6"/>
      <c r="F1315" s="6"/>
      <c r="G1315" s="6"/>
      <c r="H1315" s="6"/>
    </row>
    <row r="1316" spans="2:8" x14ac:dyDescent="0.25">
      <c r="B1316" s="6"/>
      <c r="C1316" s="6"/>
      <c r="D1316" s="6"/>
      <c r="E1316" s="6"/>
      <c r="F1316" s="6"/>
      <c r="G1316" s="6"/>
      <c r="H1316" s="6"/>
    </row>
    <row r="1317" spans="2:8" x14ac:dyDescent="0.25">
      <c r="B1317" s="6"/>
      <c r="C1317" s="6"/>
      <c r="D1317" s="6"/>
      <c r="E1317" s="6"/>
      <c r="F1317" s="6"/>
      <c r="G1317" s="6"/>
      <c r="H1317" s="6"/>
    </row>
    <row r="1318" spans="2:8" x14ac:dyDescent="0.25">
      <c r="B1318" s="6"/>
      <c r="C1318" s="6"/>
      <c r="D1318" s="6"/>
      <c r="E1318" s="6"/>
      <c r="F1318" s="6"/>
      <c r="G1318" s="6"/>
      <c r="H1318" s="6"/>
    </row>
    <row r="1319" spans="2:8" x14ac:dyDescent="0.25">
      <c r="B1319" s="6"/>
      <c r="C1319" s="6"/>
      <c r="D1319" s="6"/>
      <c r="E1319" s="6"/>
      <c r="F1319" s="6"/>
      <c r="G1319" s="6"/>
      <c r="H1319" s="6"/>
    </row>
    <row r="1320" spans="2:8" x14ac:dyDescent="0.25">
      <c r="B1320" s="6"/>
      <c r="C1320" s="6"/>
      <c r="D1320" s="6"/>
      <c r="E1320" s="6"/>
      <c r="F1320" s="6"/>
      <c r="G1320" s="6"/>
      <c r="H1320" s="6"/>
    </row>
    <row r="1321" spans="2:8" x14ac:dyDescent="0.25">
      <c r="B1321" s="6"/>
      <c r="C1321" s="6"/>
      <c r="D1321" s="6"/>
      <c r="E1321" s="6"/>
      <c r="F1321" s="6"/>
      <c r="G1321" s="6"/>
      <c r="H1321" s="6"/>
    </row>
    <row r="1322" spans="2:8" x14ac:dyDescent="0.25">
      <c r="B1322" s="6"/>
      <c r="C1322" s="6"/>
      <c r="D1322" s="6"/>
      <c r="E1322" s="6"/>
      <c r="F1322" s="6"/>
      <c r="G1322" s="6"/>
      <c r="H1322" s="6"/>
    </row>
    <row r="1323" spans="2:8" x14ac:dyDescent="0.25">
      <c r="B1323" s="6"/>
      <c r="C1323" s="6"/>
      <c r="D1323" s="6"/>
      <c r="E1323" s="6"/>
      <c r="F1323" s="6"/>
      <c r="G1323" s="6"/>
      <c r="H1323" s="6"/>
    </row>
    <row r="1324" spans="2:8" x14ac:dyDescent="0.25">
      <c r="B1324" s="6"/>
      <c r="C1324" s="6"/>
      <c r="D1324" s="6"/>
      <c r="E1324" s="6"/>
      <c r="F1324" s="6"/>
      <c r="G1324" s="6"/>
      <c r="H1324" s="6"/>
    </row>
    <row r="1325" spans="2:8" x14ac:dyDescent="0.25">
      <c r="B1325" s="6"/>
      <c r="C1325" s="6"/>
      <c r="D1325" s="6"/>
      <c r="E1325" s="6"/>
      <c r="F1325" s="6"/>
      <c r="G1325" s="6"/>
      <c r="H1325" s="6"/>
    </row>
    <row r="1326" spans="2:8" x14ac:dyDescent="0.25">
      <c r="B1326" s="6"/>
      <c r="C1326" s="6"/>
      <c r="D1326" s="6"/>
      <c r="E1326" s="6"/>
      <c r="F1326" s="6"/>
      <c r="G1326" s="6"/>
      <c r="H1326" s="6"/>
    </row>
    <row r="1327" spans="2:8" x14ac:dyDescent="0.25">
      <c r="B1327" s="6"/>
      <c r="C1327" s="6"/>
      <c r="D1327" s="6"/>
      <c r="E1327" s="6"/>
      <c r="F1327" s="6"/>
      <c r="G1327" s="6"/>
      <c r="H1327" s="6"/>
    </row>
    <row r="1328" spans="2:8" x14ac:dyDescent="0.25">
      <c r="B1328" s="6"/>
      <c r="C1328" s="6"/>
      <c r="D1328" s="6"/>
      <c r="E1328" s="6"/>
      <c r="F1328" s="6"/>
      <c r="G1328" s="6"/>
      <c r="H1328" s="6"/>
    </row>
    <row r="1329" spans="2:8" x14ac:dyDescent="0.25">
      <c r="B1329" s="6"/>
      <c r="C1329" s="6"/>
      <c r="D1329" s="6"/>
      <c r="E1329" s="6"/>
      <c r="F1329" s="6"/>
      <c r="G1329" s="6"/>
      <c r="H1329" s="6"/>
    </row>
    <row r="1330" spans="2:8" x14ac:dyDescent="0.25">
      <c r="B1330" s="6"/>
      <c r="C1330" s="6"/>
      <c r="D1330" s="6"/>
      <c r="E1330" s="6"/>
      <c r="F1330" s="6"/>
      <c r="G1330" s="6"/>
      <c r="H1330" s="6"/>
    </row>
    <row r="1331" spans="2:8" x14ac:dyDescent="0.25">
      <c r="B1331" s="6"/>
      <c r="C1331" s="6"/>
      <c r="D1331" s="6"/>
      <c r="E1331" s="6"/>
      <c r="F1331" s="6"/>
      <c r="G1331" s="6"/>
      <c r="H1331" s="6"/>
    </row>
    <row r="1332" spans="2:8" x14ac:dyDescent="0.25">
      <c r="B1332" s="6"/>
      <c r="C1332" s="6"/>
      <c r="D1332" s="6"/>
      <c r="E1332" s="6"/>
      <c r="F1332" s="6"/>
      <c r="G1332" s="6"/>
      <c r="H1332" s="6"/>
    </row>
    <row r="1333" spans="2:8" x14ac:dyDescent="0.25">
      <c r="B1333" s="6"/>
      <c r="C1333" s="6"/>
      <c r="D1333" s="6"/>
      <c r="E1333" s="6"/>
      <c r="F1333" s="6"/>
      <c r="G1333" s="6"/>
      <c r="H1333" s="6"/>
    </row>
    <row r="1334" spans="2:8" x14ac:dyDescent="0.25">
      <c r="B1334" s="6"/>
      <c r="C1334" s="6"/>
      <c r="D1334" s="6"/>
      <c r="E1334" s="6"/>
      <c r="F1334" s="6"/>
      <c r="G1334" s="6"/>
      <c r="H1334" s="6"/>
    </row>
    <row r="1335" spans="2:8" x14ac:dyDescent="0.25">
      <c r="B1335" s="6"/>
      <c r="C1335" s="6"/>
      <c r="D1335" s="6"/>
      <c r="E1335" s="6"/>
      <c r="F1335" s="6"/>
      <c r="G1335" s="6"/>
      <c r="H1335" s="6"/>
    </row>
    <row r="1336" spans="2:8" x14ac:dyDescent="0.25">
      <c r="B1336" s="6"/>
      <c r="C1336" s="6"/>
      <c r="D1336" s="6"/>
      <c r="E1336" s="6"/>
      <c r="F1336" s="6"/>
      <c r="G1336" s="6"/>
      <c r="H1336" s="6"/>
    </row>
    <row r="1337" spans="2:8" x14ac:dyDescent="0.25">
      <c r="B1337" s="6"/>
      <c r="C1337" s="6"/>
      <c r="D1337" s="6"/>
      <c r="E1337" s="6"/>
      <c r="F1337" s="6"/>
      <c r="G1337" s="6"/>
      <c r="H1337" s="6"/>
    </row>
    <row r="1338" spans="2:8" x14ac:dyDescent="0.25">
      <c r="B1338" s="6"/>
      <c r="C1338" s="6"/>
      <c r="D1338" s="6"/>
      <c r="E1338" s="6"/>
      <c r="F1338" s="6"/>
      <c r="G1338" s="6"/>
      <c r="H1338" s="6"/>
    </row>
    <row r="1339" spans="2:8" x14ac:dyDescent="0.25">
      <c r="B1339" s="6"/>
      <c r="C1339" s="6"/>
      <c r="D1339" s="6"/>
      <c r="E1339" s="6"/>
      <c r="F1339" s="6"/>
      <c r="G1339" s="6"/>
      <c r="H1339" s="6"/>
    </row>
    <row r="1340" spans="2:8" x14ac:dyDescent="0.25">
      <c r="B1340" s="6"/>
      <c r="C1340" s="6"/>
      <c r="D1340" s="6"/>
      <c r="E1340" s="6"/>
      <c r="F1340" s="6"/>
      <c r="G1340" s="6"/>
      <c r="H1340" s="6"/>
    </row>
    <row r="1341" spans="2:8" x14ac:dyDescent="0.25">
      <c r="B1341" s="6"/>
      <c r="C1341" s="6"/>
      <c r="D1341" s="6"/>
      <c r="E1341" s="6"/>
      <c r="F1341" s="6"/>
      <c r="G1341" s="6"/>
      <c r="H1341" s="6"/>
    </row>
    <row r="1342" spans="2:8" x14ac:dyDescent="0.25">
      <c r="B1342" s="6"/>
      <c r="C1342" s="6"/>
      <c r="D1342" s="6"/>
      <c r="E1342" s="6"/>
      <c r="F1342" s="6"/>
      <c r="G1342" s="6"/>
      <c r="H1342" s="6"/>
    </row>
    <row r="1343" spans="2:8" x14ac:dyDescent="0.25">
      <c r="B1343" s="6"/>
      <c r="C1343" s="6"/>
      <c r="D1343" s="6"/>
      <c r="E1343" s="6"/>
      <c r="F1343" s="6"/>
      <c r="G1343" s="6"/>
      <c r="H1343" s="6"/>
    </row>
    <row r="1344" spans="2:8" x14ac:dyDescent="0.25">
      <c r="B1344" s="6"/>
      <c r="C1344" s="6"/>
      <c r="D1344" s="6"/>
      <c r="E1344" s="6"/>
      <c r="F1344" s="6"/>
      <c r="G1344" s="6"/>
      <c r="H1344" s="6"/>
    </row>
    <row r="1345" spans="2:8" x14ac:dyDescent="0.25">
      <c r="B1345" s="6"/>
      <c r="C1345" s="6"/>
      <c r="D1345" s="6"/>
      <c r="E1345" s="6"/>
      <c r="F1345" s="6"/>
      <c r="G1345" s="6"/>
      <c r="H1345" s="6"/>
    </row>
    <row r="1346" spans="2:8" x14ac:dyDescent="0.25">
      <c r="B1346" s="6"/>
      <c r="C1346" s="6"/>
      <c r="D1346" s="6"/>
      <c r="E1346" s="6"/>
      <c r="F1346" s="6"/>
      <c r="G1346" s="6"/>
      <c r="H1346" s="6"/>
    </row>
    <row r="1347" spans="2:8" x14ac:dyDescent="0.25">
      <c r="B1347" s="6"/>
      <c r="C1347" s="6"/>
      <c r="D1347" s="6"/>
      <c r="E1347" s="6"/>
      <c r="F1347" s="6"/>
      <c r="G1347" s="6"/>
      <c r="H1347" s="6"/>
    </row>
    <row r="1348" spans="2:8" x14ac:dyDescent="0.25">
      <c r="B1348" s="6"/>
      <c r="C1348" s="6"/>
      <c r="D1348" s="6"/>
      <c r="E1348" s="6"/>
      <c r="F1348" s="6"/>
      <c r="G1348" s="6"/>
      <c r="H1348" s="6"/>
    </row>
    <row r="1349" spans="2:8" x14ac:dyDescent="0.25">
      <c r="B1349" s="6"/>
      <c r="C1349" s="6"/>
      <c r="D1349" s="6"/>
      <c r="E1349" s="6"/>
      <c r="F1349" s="6"/>
      <c r="G1349" s="6"/>
      <c r="H1349" s="6"/>
    </row>
    <row r="1350" spans="2:8" x14ac:dyDescent="0.25">
      <c r="B1350" s="6"/>
      <c r="C1350" s="6"/>
      <c r="D1350" s="6"/>
      <c r="E1350" s="6"/>
      <c r="F1350" s="6"/>
      <c r="G1350" s="6"/>
      <c r="H1350" s="6"/>
    </row>
    <row r="1351" spans="2:8" x14ac:dyDescent="0.25">
      <c r="B1351" s="6"/>
      <c r="C1351" s="6"/>
      <c r="D1351" s="6"/>
      <c r="E1351" s="6"/>
      <c r="F1351" s="6"/>
      <c r="G1351" s="6"/>
      <c r="H1351" s="6"/>
    </row>
    <row r="1352" spans="2:8" x14ac:dyDescent="0.25">
      <c r="B1352" s="6"/>
      <c r="C1352" s="6"/>
      <c r="D1352" s="6"/>
      <c r="E1352" s="6"/>
      <c r="F1352" s="6"/>
      <c r="G1352" s="6"/>
      <c r="H1352" s="6"/>
    </row>
    <row r="1353" spans="2:8" x14ac:dyDescent="0.25">
      <c r="B1353" s="6"/>
      <c r="C1353" s="6"/>
      <c r="D1353" s="6"/>
      <c r="E1353" s="6"/>
      <c r="F1353" s="6"/>
      <c r="G1353" s="6"/>
      <c r="H1353" s="6"/>
    </row>
    <row r="1354" spans="2:8" x14ac:dyDescent="0.25">
      <c r="B1354" s="6"/>
      <c r="C1354" s="6"/>
      <c r="D1354" s="6"/>
      <c r="E1354" s="6"/>
      <c r="F1354" s="6"/>
      <c r="G1354" s="6"/>
      <c r="H1354" s="6"/>
    </row>
    <row r="1355" spans="2:8" x14ac:dyDescent="0.25">
      <c r="B1355" s="6"/>
      <c r="C1355" s="6"/>
      <c r="D1355" s="6"/>
      <c r="E1355" s="6"/>
      <c r="F1355" s="6"/>
      <c r="G1355" s="6"/>
      <c r="H1355" s="6"/>
    </row>
    <row r="1356" spans="2:8" x14ac:dyDescent="0.25">
      <c r="B1356" s="6"/>
      <c r="C1356" s="6"/>
      <c r="D1356" s="6"/>
      <c r="E1356" s="6"/>
      <c r="F1356" s="6"/>
      <c r="G1356" s="6"/>
      <c r="H1356" s="6"/>
    </row>
    <row r="1357" spans="2:8" x14ac:dyDescent="0.25">
      <c r="B1357" s="6"/>
      <c r="C1357" s="6"/>
      <c r="D1357" s="6"/>
      <c r="E1357" s="6"/>
      <c r="F1357" s="6"/>
      <c r="G1357" s="6"/>
      <c r="H1357" s="6"/>
    </row>
    <row r="1358" spans="2:8" x14ac:dyDescent="0.25">
      <c r="B1358" s="6"/>
      <c r="C1358" s="6"/>
      <c r="D1358" s="6"/>
      <c r="E1358" s="6"/>
      <c r="F1358" s="6"/>
      <c r="G1358" s="6"/>
      <c r="H1358" s="6"/>
    </row>
    <row r="1359" spans="2:8" x14ac:dyDescent="0.25">
      <c r="B1359" s="6"/>
      <c r="C1359" s="6"/>
      <c r="D1359" s="6"/>
      <c r="E1359" s="6"/>
      <c r="F1359" s="6"/>
      <c r="G1359" s="6"/>
      <c r="H1359" s="6"/>
    </row>
    <row r="1360" spans="2:8" x14ac:dyDescent="0.25">
      <c r="B1360" s="6"/>
      <c r="C1360" s="6"/>
      <c r="D1360" s="6"/>
      <c r="E1360" s="6"/>
      <c r="F1360" s="6"/>
      <c r="G1360" s="6"/>
      <c r="H1360" s="6"/>
    </row>
    <row r="1361" spans="2:8" x14ac:dyDescent="0.25">
      <c r="B1361" s="6"/>
      <c r="C1361" s="6"/>
      <c r="D1361" s="6"/>
      <c r="E1361" s="6"/>
      <c r="F1361" s="6"/>
      <c r="G1361" s="6"/>
      <c r="H1361" s="6"/>
    </row>
    <row r="1362" spans="2:8" x14ac:dyDescent="0.25">
      <c r="B1362" s="6"/>
      <c r="C1362" s="6"/>
      <c r="D1362" s="6"/>
      <c r="E1362" s="6"/>
      <c r="F1362" s="6"/>
      <c r="G1362" s="6"/>
      <c r="H1362" s="6"/>
    </row>
    <row r="1363" spans="2:8" x14ac:dyDescent="0.25">
      <c r="B1363" s="6"/>
      <c r="C1363" s="6"/>
      <c r="D1363" s="6"/>
      <c r="E1363" s="6"/>
      <c r="F1363" s="6"/>
      <c r="G1363" s="6"/>
      <c r="H1363" s="6"/>
    </row>
    <row r="1364" spans="2:8" x14ac:dyDescent="0.25">
      <c r="B1364" s="6"/>
      <c r="C1364" s="6"/>
      <c r="D1364" s="6"/>
      <c r="E1364" s="6"/>
      <c r="F1364" s="6"/>
      <c r="G1364" s="6"/>
      <c r="H1364" s="6"/>
    </row>
    <row r="1365" spans="2:8" x14ac:dyDescent="0.25">
      <c r="B1365" s="6"/>
      <c r="C1365" s="6"/>
      <c r="D1365" s="6"/>
      <c r="E1365" s="6"/>
      <c r="F1365" s="6"/>
      <c r="G1365" s="6"/>
      <c r="H1365" s="6"/>
    </row>
    <row r="1366" spans="2:8" x14ac:dyDescent="0.25">
      <c r="B1366" s="6"/>
      <c r="C1366" s="6"/>
      <c r="D1366" s="6"/>
      <c r="E1366" s="6"/>
      <c r="F1366" s="6"/>
      <c r="G1366" s="6"/>
      <c r="H1366" s="6"/>
    </row>
    <row r="1367" spans="2:8" x14ac:dyDescent="0.25">
      <c r="B1367" s="6"/>
      <c r="C1367" s="6"/>
      <c r="D1367" s="6"/>
      <c r="E1367" s="6"/>
      <c r="F1367" s="6"/>
      <c r="G1367" s="6"/>
      <c r="H1367" s="6"/>
    </row>
    <row r="1368" spans="2:8" x14ac:dyDescent="0.25">
      <c r="B1368" s="6"/>
      <c r="C1368" s="6"/>
      <c r="D1368" s="6"/>
      <c r="E1368" s="6"/>
      <c r="F1368" s="6"/>
      <c r="G1368" s="6"/>
      <c r="H1368" s="6"/>
    </row>
    <row r="1369" spans="2:8" x14ac:dyDescent="0.25">
      <c r="B1369" s="6"/>
      <c r="C1369" s="6"/>
      <c r="D1369" s="6"/>
      <c r="E1369" s="6"/>
      <c r="F1369" s="6"/>
      <c r="G1369" s="6"/>
      <c r="H1369" s="6"/>
    </row>
    <row r="1370" spans="2:8" x14ac:dyDescent="0.25">
      <c r="B1370" s="6"/>
      <c r="C1370" s="6"/>
      <c r="D1370" s="6"/>
      <c r="E1370" s="6"/>
      <c r="F1370" s="6"/>
      <c r="G1370" s="6"/>
      <c r="H1370" s="6"/>
    </row>
    <row r="1371" spans="2:8" x14ac:dyDescent="0.25">
      <c r="B1371" s="6"/>
      <c r="C1371" s="6"/>
      <c r="D1371" s="6"/>
      <c r="E1371" s="6"/>
      <c r="F1371" s="6"/>
      <c r="G1371" s="6"/>
      <c r="H1371" s="6"/>
    </row>
    <row r="1372" spans="2:8" x14ac:dyDescent="0.25">
      <c r="B1372" s="6"/>
      <c r="C1372" s="6"/>
      <c r="D1372" s="6"/>
      <c r="E1372" s="6"/>
      <c r="F1372" s="6"/>
      <c r="G1372" s="6"/>
      <c r="H1372" s="6"/>
    </row>
    <row r="1373" spans="2:8" x14ac:dyDescent="0.25">
      <c r="B1373" s="6"/>
      <c r="C1373" s="6"/>
      <c r="D1373" s="6"/>
      <c r="E1373" s="6"/>
      <c r="F1373" s="6"/>
      <c r="G1373" s="6"/>
      <c r="H1373" s="6"/>
    </row>
    <row r="1374" spans="2:8" x14ac:dyDescent="0.25">
      <c r="B1374" s="6"/>
      <c r="C1374" s="6"/>
      <c r="D1374" s="6"/>
      <c r="E1374" s="6"/>
      <c r="F1374" s="6"/>
      <c r="G1374" s="6"/>
      <c r="H1374" s="6"/>
    </row>
    <row r="1375" spans="2:8" x14ac:dyDescent="0.25">
      <c r="B1375" s="6"/>
      <c r="C1375" s="6"/>
      <c r="D1375" s="6"/>
      <c r="E1375" s="6"/>
      <c r="F1375" s="6"/>
      <c r="G1375" s="6"/>
      <c r="H1375" s="6"/>
    </row>
    <row r="1376" spans="2:8" x14ac:dyDescent="0.25">
      <c r="B1376" s="6"/>
      <c r="C1376" s="6"/>
      <c r="D1376" s="6"/>
      <c r="E1376" s="6"/>
      <c r="F1376" s="6"/>
      <c r="G1376" s="6"/>
      <c r="H1376" s="6"/>
    </row>
    <row r="1377" spans="2:8" x14ac:dyDescent="0.25">
      <c r="B1377" s="6"/>
      <c r="C1377" s="6"/>
      <c r="D1377" s="6"/>
      <c r="E1377" s="6"/>
      <c r="F1377" s="6"/>
      <c r="G1377" s="6"/>
      <c r="H1377" s="6"/>
    </row>
    <row r="1378" spans="2:8" x14ac:dyDescent="0.25">
      <c r="B1378" s="6"/>
      <c r="C1378" s="6"/>
      <c r="D1378" s="6"/>
      <c r="E1378" s="6"/>
      <c r="F1378" s="6"/>
      <c r="G1378" s="6"/>
      <c r="H1378" s="6"/>
    </row>
    <row r="1379" spans="2:8" x14ac:dyDescent="0.25">
      <c r="B1379" s="6"/>
      <c r="C1379" s="6"/>
      <c r="D1379" s="6"/>
      <c r="E1379" s="6"/>
      <c r="F1379" s="6"/>
      <c r="G1379" s="6"/>
      <c r="H1379" s="6"/>
    </row>
    <row r="1380" spans="2:8" x14ac:dyDescent="0.25">
      <c r="B1380" s="6"/>
      <c r="C1380" s="6"/>
      <c r="D1380" s="6"/>
      <c r="E1380" s="6"/>
      <c r="F1380" s="6"/>
      <c r="G1380" s="6"/>
      <c r="H1380" s="6"/>
    </row>
    <row r="1381" spans="2:8" x14ac:dyDescent="0.25">
      <c r="B1381" s="6"/>
      <c r="C1381" s="6"/>
      <c r="D1381" s="6"/>
      <c r="E1381" s="6"/>
      <c r="F1381" s="6"/>
      <c r="G1381" s="6"/>
      <c r="H1381" s="6"/>
    </row>
    <row r="1382" spans="2:8" x14ac:dyDescent="0.25">
      <c r="B1382" s="6"/>
      <c r="C1382" s="6"/>
      <c r="D1382" s="6"/>
      <c r="E1382" s="6"/>
      <c r="F1382" s="6"/>
      <c r="G1382" s="6"/>
      <c r="H1382" s="6"/>
    </row>
    <row r="1383" spans="2:8" x14ac:dyDescent="0.25">
      <c r="B1383" s="6"/>
      <c r="C1383" s="6"/>
      <c r="D1383" s="6"/>
      <c r="E1383" s="6"/>
      <c r="F1383" s="6"/>
      <c r="G1383" s="6"/>
      <c r="H1383" s="6"/>
    </row>
    <row r="1384" spans="2:8" x14ac:dyDescent="0.25">
      <c r="B1384" s="6"/>
      <c r="C1384" s="6"/>
      <c r="D1384" s="6"/>
      <c r="E1384" s="6"/>
      <c r="F1384" s="6"/>
      <c r="G1384" s="6"/>
      <c r="H1384" s="6"/>
    </row>
    <row r="1385" spans="2:8" x14ac:dyDescent="0.25">
      <c r="B1385" s="6"/>
      <c r="C1385" s="6"/>
      <c r="D1385" s="6"/>
      <c r="E1385" s="6"/>
      <c r="F1385" s="6"/>
      <c r="G1385" s="6"/>
      <c r="H1385" s="6"/>
    </row>
    <row r="1386" spans="2:8" x14ac:dyDescent="0.25">
      <c r="B1386" s="6"/>
      <c r="C1386" s="6"/>
      <c r="D1386" s="6"/>
      <c r="E1386" s="6"/>
      <c r="F1386" s="6"/>
      <c r="G1386" s="6"/>
      <c r="H1386" s="6"/>
    </row>
    <row r="1387" spans="2:8" x14ac:dyDescent="0.25">
      <c r="B1387" s="6"/>
      <c r="C1387" s="6"/>
      <c r="D1387" s="6"/>
      <c r="E1387" s="6"/>
      <c r="F1387" s="6"/>
      <c r="G1387" s="6"/>
      <c r="H1387" s="6"/>
    </row>
    <row r="1388" spans="2:8" x14ac:dyDescent="0.25">
      <c r="B1388" s="6"/>
      <c r="C1388" s="6"/>
      <c r="D1388" s="6"/>
      <c r="E1388" s="6"/>
      <c r="F1388" s="6"/>
      <c r="G1388" s="6"/>
      <c r="H1388" s="6"/>
    </row>
    <row r="1389" spans="2:8" x14ac:dyDescent="0.25">
      <c r="B1389" s="6"/>
      <c r="C1389" s="6"/>
      <c r="D1389" s="6"/>
      <c r="E1389" s="6"/>
      <c r="F1389" s="6"/>
      <c r="G1389" s="6"/>
      <c r="H1389" s="6"/>
    </row>
    <row r="1390" spans="2:8" x14ac:dyDescent="0.25">
      <c r="B1390" s="6"/>
      <c r="C1390" s="6"/>
      <c r="D1390" s="6"/>
      <c r="E1390" s="6"/>
      <c r="F1390" s="6"/>
      <c r="G1390" s="6"/>
      <c r="H1390" s="6"/>
    </row>
    <row r="1391" spans="2:8" x14ac:dyDescent="0.25">
      <c r="B1391" s="6"/>
      <c r="C1391" s="6"/>
      <c r="D1391" s="6"/>
      <c r="E1391" s="6"/>
      <c r="F1391" s="6"/>
      <c r="G1391" s="6"/>
      <c r="H1391" s="6"/>
    </row>
    <row r="1392" spans="2:8" x14ac:dyDescent="0.25">
      <c r="B1392" s="6"/>
      <c r="C1392" s="6"/>
      <c r="D1392" s="6"/>
      <c r="E1392" s="6"/>
      <c r="F1392" s="6"/>
      <c r="G1392" s="6"/>
      <c r="H1392" s="6"/>
    </row>
    <row r="1393" spans="2:8" x14ac:dyDescent="0.25">
      <c r="B1393" s="6"/>
      <c r="C1393" s="6"/>
      <c r="D1393" s="6"/>
      <c r="E1393" s="6"/>
      <c r="F1393" s="6"/>
      <c r="G1393" s="6"/>
      <c r="H1393" s="6"/>
    </row>
    <row r="1394" spans="2:8" x14ac:dyDescent="0.25">
      <c r="B1394" s="6"/>
      <c r="C1394" s="6"/>
      <c r="D1394" s="6"/>
      <c r="E1394" s="6"/>
      <c r="F1394" s="6"/>
      <c r="G1394" s="6"/>
      <c r="H1394" s="6"/>
    </row>
    <row r="1395" spans="2:8" x14ac:dyDescent="0.25">
      <c r="B1395" s="6"/>
      <c r="C1395" s="6"/>
      <c r="D1395" s="6"/>
      <c r="E1395" s="6"/>
      <c r="F1395" s="6"/>
      <c r="G1395" s="6"/>
      <c r="H1395" s="6"/>
    </row>
    <row r="1396" spans="2:8" x14ac:dyDescent="0.25">
      <c r="B1396" s="6"/>
      <c r="C1396" s="6"/>
      <c r="D1396" s="6"/>
      <c r="E1396" s="6"/>
      <c r="F1396" s="6"/>
      <c r="G1396" s="6"/>
      <c r="H1396" s="6"/>
    </row>
    <row r="1397" spans="2:8" x14ac:dyDescent="0.25">
      <c r="B1397" s="6"/>
      <c r="C1397" s="6"/>
      <c r="D1397" s="6"/>
      <c r="E1397" s="6"/>
      <c r="F1397" s="6"/>
      <c r="G1397" s="6"/>
      <c r="H1397" s="6"/>
    </row>
    <row r="1398" spans="2:8" x14ac:dyDescent="0.25">
      <c r="B1398" s="6"/>
      <c r="C1398" s="6"/>
      <c r="D1398" s="6"/>
      <c r="E1398" s="6"/>
      <c r="F1398" s="6"/>
      <c r="G1398" s="6"/>
      <c r="H1398" s="6"/>
    </row>
    <row r="1399" spans="2:8" x14ac:dyDescent="0.25">
      <c r="B1399" s="6"/>
      <c r="C1399" s="6"/>
      <c r="D1399" s="6"/>
      <c r="E1399" s="6"/>
      <c r="F1399" s="6"/>
      <c r="G1399" s="6"/>
      <c r="H1399" s="6"/>
    </row>
    <row r="1400" spans="2:8" x14ac:dyDescent="0.25">
      <c r="B1400" s="6"/>
      <c r="C1400" s="6"/>
      <c r="D1400" s="6"/>
      <c r="E1400" s="6"/>
      <c r="F1400" s="6"/>
      <c r="G1400" s="6"/>
      <c r="H1400" s="6"/>
    </row>
    <row r="1401" spans="2:8" x14ac:dyDescent="0.25">
      <c r="B1401" s="6"/>
      <c r="C1401" s="6"/>
      <c r="D1401" s="6"/>
      <c r="E1401" s="6"/>
      <c r="F1401" s="6"/>
      <c r="G1401" s="6"/>
      <c r="H1401" s="6"/>
    </row>
    <row r="1402" spans="2:8" x14ac:dyDescent="0.25">
      <c r="B1402" s="6"/>
      <c r="C1402" s="6"/>
      <c r="D1402" s="6"/>
      <c r="E1402" s="6"/>
      <c r="F1402" s="6"/>
      <c r="G1402" s="6"/>
      <c r="H1402" s="6"/>
    </row>
    <row r="1403" spans="2:8" x14ac:dyDescent="0.25">
      <c r="B1403" s="6"/>
      <c r="C1403" s="6"/>
      <c r="D1403" s="6"/>
      <c r="E1403" s="6"/>
      <c r="F1403" s="6"/>
      <c r="G1403" s="6"/>
      <c r="H1403" s="6"/>
    </row>
    <row r="1404" spans="2:8" x14ac:dyDescent="0.25">
      <c r="B1404" s="6"/>
      <c r="C1404" s="6"/>
      <c r="D1404" s="6"/>
      <c r="E1404" s="6"/>
      <c r="F1404" s="6"/>
      <c r="G1404" s="6"/>
      <c r="H1404" s="6"/>
    </row>
    <row r="1405" spans="2:8" x14ac:dyDescent="0.25">
      <c r="B1405" s="6"/>
      <c r="C1405" s="6"/>
      <c r="D1405" s="6"/>
      <c r="E1405" s="6"/>
      <c r="F1405" s="6"/>
      <c r="G1405" s="6"/>
      <c r="H1405" s="6"/>
    </row>
    <row r="1406" spans="2:8" x14ac:dyDescent="0.25">
      <c r="B1406" s="6"/>
      <c r="C1406" s="6"/>
      <c r="D1406" s="6"/>
      <c r="E1406" s="6"/>
      <c r="F1406" s="6"/>
      <c r="G1406" s="6"/>
      <c r="H1406" s="6"/>
    </row>
    <row r="1407" spans="2:8" x14ac:dyDescent="0.25">
      <c r="B1407" s="6"/>
      <c r="C1407" s="6"/>
      <c r="D1407" s="6"/>
      <c r="E1407" s="6"/>
      <c r="F1407" s="6"/>
      <c r="G1407" s="6"/>
      <c r="H1407" s="6"/>
    </row>
    <row r="1408" spans="2:8" x14ac:dyDescent="0.25">
      <c r="B1408" s="6"/>
      <c r="C1408" s="6"/>
      <c r="D1408" s="6"/>
      <c r="E1408" s="6"/>
      <c r="F1408" s="6"/>
      <c r="G1408" s="6"/>
      <c r="H1408" s="6"/>
    </row>
    <row r="1409" spans="2:8" x14ac:dyDescent="0.25">
      <c r="B1409" s="6"/>
      <c r="C1409" s="6"/>
      <c r="D1409" s="6"/>
      <c r="E1409" s="6"/>
      <c r="F1409" s="6"/>
      <c r="G1409" s="6"/>
      <c r="H1409" s="6"/>
    </row>
    <row r="1410" spans="2:8" x14ac:dyDescent="0.25">
      <c r="B1410" s="6"/>
      <c r="C1410" s="6"/>
      <c r="D1410" s="6"/>
      <c r="E1410" s="6"/>
      <c r="F1410" s="6"/>
      <c r="G1410" s="6"/>
      <c r="H1410" s="6"/>
    </row>
    <row r="1411" spans="2:8" x14ac:dyDescent="0.25">
      <c r="B1411" s="6"/>
      <c r="C1411" s="6"/>
      <c r="D1411" s="6"/>
      <c r="E1411" s="6"/>
      <c r="F1411" s="6"/>
      <c r="G1411" s="6"/>
      <c r="H1411" s="6"/>
    </row>
    <row r="1412" spans="2:8" x14ac:dyDescent="0.25">
      <c r="B1412" s="6"/>
      <c r="C1412" s="6"/>
      <c r="D1412" s="6"/>
      <c r="E1412" s="6"/>
      <c r="F1412" s="6"/>
      <c r="G1412" s="6"/>
      <c r="H1412" s="6"/>
    </row>
    <row r="1413" spans="2:8" x14ac:dyDescent="0.25">
      <c r="B1413" s="6"/>
      <c r="C1413" s="6"/>
      <c r="D1413" s="6"/>
      <c r="E1413" s="6"/>
      <c r="F1413" s="6"/>
      <c r="G1413" s="6"/>
      <c r="H1413" s="6"/>
    </row>
    <row r="1414" spans="2:8" x14ac:dyDescent="0.25">
      <c r="B1414" s="6"/>
      <c r="C1414" s="6"/>
      <c r="D1414" s="6"/>
      <c r="E1414" s="6"/>
      <c r="F1414" s="6"/>
      <c r="G1414" s="6"/>
      <c r="H1414" s="6"/>
    </row>
    <row r="1415" spans="2:8" x14ac:dyDescent="0.25">
      <c r="B1415" s="6"/>
      <c r="C1415" s="6"/>
      <c r="D1415" s="6"/>
      <c r="E1415" s="6"/>
      <c r="F1415" s="6"/>
      <c r="G1415" s="6"/>
      <c r="H1415" s="6"/>
    </row>
    <row r="1416" spans="2:8" x14ac:dyDescent="0.25">
      <c r="B1416" s="6"/>
      <c r="C1416" s="6"/>
      <c r="D1416" s="6"/>
      <c r="E1416" s="6"/>
      <c r="F1416" s="6"/>
      <c r="G1416" s="6"/>
      <c r="H1416" s="6"/>
    </row>
    <row r="1417" spans="2:8" x14ac:dyDescent="0.25">
      <c r="B1417" s="6"/>
      <c r="C1417" s="6"/>
      <c r="D1417" s="6"/>
      <c r="E1417" s="6"/>
      <c r="F1417" s="6"/>
      <c r="G1417" s="6"/>
      <c r="H1417" s="6"/>
    </row>
    <row r="1418" spans="2:8" x14ac:dyDescent="0.25">
      <c r="B1418" s="6"/>
      <c r="C1418" s="6"/>
      <c r="D1418" s="6"/>
      <c r="E1418" s="6"/>
      <c r="F1418" s="6"/>
      <c r="G1418" s="6"/>
      <c r="H1418" s="6"/>
    </row>
    <row r="1419" spans="2:8" x14ac:dyDescent="0.25">
      <c r="B1419" s="6"/>
      <c r="C1419" s="6"/>
      <c r="D1419" s="6"/>
      <c r="E1419" s="6"/>
      <c r="F1419" s="6"/>
      <c r="G1419" s="6"/>
      <c r="H1419" s="6"/>
    </row>
    <row r="1420" spans="2:8" x14ac:dyDescent="0.25">
      <c r="B1420" s="6"/>
      <c r="C1420" s="6"/>
      <c r="D1420" s="6"/>
      <c r="E1420" s="6"/>
      <c r="F1420" s="6"/>
      <c r="G1420" s="6"/>
      <c r="H1420" s="6"/>
    </row>
    <row r="1421" spans="2:8" x14ac:dyDescent="0.25">
      <c r="B1421" s="6"/>
      <c r="C1421" s="6"/>
      <c r="D1421" s="6"/>
      <c r="E1421" s="6"/>
      <c r="F1421" s="6"/>
      <c r="G1421" s="6"/>
      <c r="H1421" s="6"/>
    </row>
    <row r="1422" spans="2:8" x14ac:dyDescent="0.25">
      <c r="B1422" s="6"/>
      <c r="C1422" s="6"/>
      <c r="D1422" s="6"/>
      <c r="E1422" s="6"/>
      <c r="F1422" s="6"/>
      <c r="G1422" s="6"/>
      <c r="H1422" s="6"/>
    </row>
    <row r="1423" spans="2:8" x14ac:dyDescent="0.25">
      <c r="B1423" s="6"/>
      <c r="C1423" s="6"/>
      <c r="D1423" s="6"/>
      <c r="E1423" s="6"/>
      <c r="F1423" s="6"/>
      <c r="G1423" s="6"/>
      <c r="H1423" s="6"/>
    </row>
    <row r="1424" spans="2:8" x14ac:dyDescent="0.25">
      <c r="B1424" s="6"/>
      <c r="C1424" s="6"/>
      <c r="D1424" s="6"/>
      <c r="E1424" s="6"/>
      <c r="F1424" s="6"/>
      <c r="G1424" s="6"/>
      <c r="H1424" s="6"/>
    </row>
    <row r="1425" spans="2:8" x14ac:dyDescent="0.25">
      <c r="B1425" s="6"/>
      <c r="C1425" s="6"/>
      <c r="D1425" s="6"/>
      <c r="E1425" s="6"/>
      <c r="F1425" s="6"/>
      <c r="G1425" s="6"/>
      <c r="H1425" s="6"/>
    </row>
    <row r="1426" spans="2:8" x14ac:dyDescent="0.25">
      <c r="B1426" s="6"/>
      <c r="C1426" s="6"/>
      <c r="D1426" s="6"/>
      <c r="E1426" s="6"/>
      <c r="F1426" s="6"/>
      <c r="G1426" s="6"/>
      <c r="H1426" s="6"/>
    </row>
    <row r="1427" spans="2:8" x14ac:dyDescent="0.25">
      <c r="B1427" s="6"/>
      <c r="C1427" s="6"/>
      <c r="D1427" s="6"/>
      <c r="E1427" s="6"/>
      <c r="F1427" s="6"/>
      <c r="G1427" s="6"/>
      <c r="H1427" s="6"/>
    </row>
    <row r="1428" spans="2:8" x14ac:dyDescent="0.25">
      <c r="B1428" s="6"/>
      <c r="C1428" s="6"/>
      <c r="D1428" s="6"/>
      <c r="E1428" s="6"/>
      <c r="F1428" s="6"/>
      <c r="G1428" s="6"/>
      <c r="H1428" s="6"/>
    </row>
    <row r="1429" spans="2:8" x14ac:dyDescent="0.25">
      <c r="B1429" s="6"/>
      <c r="C1429" s="6"/>
      <c r="D1429" s="6"/>
      <c r="E1429" s="6"/>
      <c r="F1429" s="6"/>
      <c r="G1429" s="6"/>
      <c r="H1429" s="6"/>
    </row>
    <row r="1430" spans="2:8" x14ac:dyDescent="0.25">
      <c r="B1430" s="6"/>
      <c r="C1430" s="6"/>
      <c r="D1430" s="6"/>
      <c r="E1430" s="6"/>
      <c r="F1430" s="6"/>
      <c r="G1430" s="6"/>
      <c r="H1430" s="6"/>
    </row>
    <row r="1431" spans="2:8" x14ac:dyDescent="0.25">
      <c r="B1431" s="6"/>
      <c r="C1431" s="6"/>
      <c r="D1431" s="6"/>
      <c r="E1431" s="6"/>
      <c r="F1431" s="6"/>
      <c r="G1431" s="6"/>
      <c r="H1431" s="6"/>
    </row>
    <row r="1432" spans="2:8" x14ac:dyDescent="0.25">
      <c r="B1432" s="6"/>
      <c r="C1432" s="6"/>
      <c r="D1432" s="6"/>
      <c r="E1432" s="6"/>
      <c r="F1432" s="6"/>
      <c r="G1432" s="6"/>
      <c r="H1432" s="6"/>
    </row>
    <row r="1433" spans="2:8" x14ac:dyDescent="0.25">
      <c r="B1433" s="6"/>
      <c r="C1433" s="6"/>
      <c r="D1433" s="6"/>
      <c r="E1433" s="6"/>
      <c r="F1433" s="6"/>
      <c r="G1433" s="6"/>
      <c r="H1433" s="6"/>
    </row>
    <row r="1434" spans="2:8" x14ac:dyDescent="0.25">
      <c r="B1434" s="6"/>
      <c r="C1434" s="6"/>
      <c r="D1434" s="6"/>
      <c r="E1434" s="6"/>
      <c r="F1434" s="6"/>
      <c r="G1434" s="6"/>
      <c r="H1434" s="6"/>
    </row>
    <row r="1435" spans="2:8" x14ac:dyDescent="0.25">
      <c r="B1435" s="6"/>
      <c r="C1435" s="6"/>
      <c r="D1435" s="6"/>
      <c r="E1435" s="6"/>
      <c r="F1435" s="6"/>
      <c r="G1435" s="6"/>
      <c r="H1435" s="6"/>
    </row>
    <row r="1436" spans="2:8" x14ac:dyDescent="0.25">
      <c r="B1436" s="6"/>
      <c r="C1436" s="6"/>
      <c r="D1436" s="6"/>
      <c r="E1436" s="6"/>
      <c r="F1436" s="6"/>
      <c r="G1436" s="6"/>
      <c r="H1436" s="6"/>
    </row>
    <row r="1437" spans="2:8" x14ac:dyDescent="0.25">
      <c r="B1437" s="6"/>
      <c r="C1437" s="6"/>
      <c r="D1437" s="6"/>
      <c r="E1437" s="6"/>
      <c r="F1437" s="6"/>
      <c r="G1437" s="6"/>
      <c r="H1437" s="6"/>
    </row>
    <row r="1438" spans="2:8" x14ac:dyDescent="0.25">
      <c r="B1438" s="6"/>
      <c r="C1438" s="6"/>
      <c r="D1438" s="6"/>
      <c r="E1438" s="6"/>
      <c r="F1438" s="6"/>
      <c r="G1438" s="6"/>
      <c r="H1438" s="6"/>
    </row>
    <row r="1439" spans="2:8" x14ac:dyDescent="0.25">
      <c r="B1439" s="6"/>
      <c r="C1439" s="6"/>
      <c r="D1439" s="6"/>
      <c r="E1439" s="6"/>
      <c r="F1439" s="6"/>
      <c r="G1439" s="6"/>
      <c r="H1439" s="6"/>
    </row>
    <row r="1440" spans="2:8" x14ac:dyDescent="0.25">
      <c r="B1440" s="6"/>
      <c r="C1440" s="6"/>
      <c r="D1440" s="6"/>
      <c r="E1440" s="6"/>
      <c r="F1440" s="6"/>
      <c r="G1440" s="6"/>
      <c r="H1440" s="6"/>
    </row>
    <row r="1441" spans="2:8" x14ac:dyDescent="0.25">
      <c r="B1441" s="6"/>
      <c r="C1441" s="6"/>
      <c r="D1441" s="6"/>
      <c r="E1441" s="6"/>
      <c r="F1441" s="6"/>
      <c r="G1441" s="6"/>
      <c r="H1441" s="6"/>
    </row>
    <row r="1442" spans="2:8" x14ac:dyDescent="0.25">
      <c r="B1442" s="6"/>
      <c r="C1442" s="6"/>
      <c r="D1442" s="6"/>
      <c r="E1442" s="6"/>
      <c r="F1442" s="6"/>
      <c r="G1442" s="6"/>
      <c r="H1442" s="6"/>
    </row>
    <row r="1443" spans="2:8" x14ac:dyDescent="0.25">
      <c r="B1443" s="6"/>
      <c r="C1443" s="6"/>
      <c r="D1443" s="6"/>
      <c r="E1443" s="6"/>
      <c r="F1443" s="6"/>
      <c r="G1443" s="6"/>
      <c r="H1443" s="6"/>
    </row>
    <row r="1444" spans="2:8" x14ac:dyDescent="0.25">
      <c r="B1444" s="6"/>
      <c r="C1444" s="6"/>
      <c r="D1444" s="6"/>
      <c r="E1444" s="6"/>
      <c r="F1444" s="6"/>
      <c r="G1444" s="6"/>
      <c r="H1444" s="6"/>
    </row>
    <row r="1445" spans="2:8" x14ac:dyDescent="0.25">
      <c r="B1445" s="6"/>
      <c r="C1445" s="6"/>
      <c r="D1445" s="6"/>
      <c r="E1445" s="6"/>
      <c r="F1445" s="6"/>
      <c r="G1445" s="6"/>
      <c r="H1445" s="6"/>
    </row>
    <row r="1446" spans="2:8" x14ac:dyDescent="0.25">
      <c r="B1446" s="6"/>
      <c r="C1446" s="6"/>
      <c r="D1446" s="6"/>
      <c r="E1446" s="6"/>
      <c r="F1446" s="6"/>
      <c r="G1446" s="6"/>
      <c r="H1446" s="6"/>
    </row>
    <row r="1447" spans="2:8" x14ac:dyDescent="0.25">
      <c r="B1447" s="6"/>
      <c r="C1447" s="6"/>
      <c r="D1447" s="6"/>
      <c r="E1447" s="6"/>
      <c r="F1447" s="6"/>
      <c r="G1447" s="6"/>
      <c r="H1447" s="6"/>
    </row>
    <row r="1448" spans="2:8" x14ac:dyDescent="0.25">
      <c r="B1448" s="6"/>
      <c r="C1448" s="6"/>
      <c r="D1448" s="6"/>
      <c r="E1448" s="6"/>
      <c r="F1448" s="6"/>
      <c r="G1448" s="6"/>
      <c r="H1448" s="6"/>
    </row>
    <row r="1449" spans="2:8" x14ac:dyDescent="0.25">
      <c r="B1449" s="6"/>
      <c r="C1449" s="6"/>
      <c r="D1449" s="6"/>
      <c r="E1449" s="6"/>
      <c r="F1449" s="6"/>
      <c r="G1449" s="6"/>
      <c r="H1449" s="6"/>
    </row>
    <row r="1450" spans="2:8" x14ac:dyDescent="0.25">
      <c r="B1450" s="6"/>
      <c r="C1450" s="6"/>
      <c r="D1450" s="6"/>
      <c r="E1450" s="6"/>
      <c r="F1450" s="6"/>
      <c r="G1450" s="6"/>
      <c r="H1450" s="6"/>
    </row>
    <row r="1451" spans="2:8" x14ac:dyDescent="0.25">
      <c r="B1451" s="6"/>
      <c r="C1451" s="6"/>
      <c r="D1451" s="6"/>
      <c r="E1451" s="6"/>
      <c r="F1451" s="6"/>
      <c r="G1451" s="6"/>
      <c r="H1451" s="6"/>
    </row>
    <row r="1452" spans="2:8" x14ac:dyDescent="0.25">
      <c r="B1452" s="6"/>
      <c r="C1452" s="6"/>
      <c r="D1452" s="6"/>
      <c r="E1452" s="6"/>
      <c r="F1452" s="6"/>
      <c r="G1452" s="6"/>
      <c r="H1452" s="6"/>
    </row>
    <row r="1453" spans="2:8" x14ac:dyDescent="0.25">
      <c r="B1453" s="6"/>
      <c r="C1453" s="6"/>
      <c r="D1453" s="6"/>
      <c r="E1453" s="6"/>
      <c r="F1453" s="6"/>
      <c r="G1453" s="6"/>
      <c r="H1453" s="6"/>
    </row>
    <row r="1454" spans="2:8" x14ac:dyDescent="0.25">
      <c r="B1454" s="6"/>
      <c r="C1454" s="6"/>
      <c r="D1454" s="6"/>
      <c r="E1454" s="6"/>
      <c r="F1454" s="6"/>
      <c r="G1454" s="6"/>
      <c r="H1454" s="6"/>
    </row>
    <row r="1455" spans="2:8" x14ac:dyDescent="0.25">
      <c r="B1455" s="6"/>
      <c r="C1455" s="6"/>
      <c r="D1455" s="6"/>
      <c r="E1455" s="6"/>
      <c r="F1455" s="6"/>
      <c r="G1455" s="6"/>
      <c r="H1455" s="6"/>
    </row>
    <row r="1456" spans="2:8" x14ac:dyDescent="0.25">
      <c r="B1456" s="6"/>
      <c r="C1456" s="6"/>
      <c r="D1456" s="6"/>
      <c r="E1456" s="6"/>
      <c r="F1456" s="6"/>
      <c r="G1456" s="6"/>
      <c r="H1456" s="6"/>
    </row>
    <row r="1457" spans="2:8" x14ac:dyDescent="0.25">
      <c r="B1457" s="6"/>
      <c r="C1457" s="6"/>
      <c r="D1457" s="6"/>
      <c r="E1457" s="6"/>
      <c r="F1457" s="6"/>
      <c r="G1457" s="6"/>
      <c r="H1457" s="6"/>
    </row>
    <row r="1458" spans="2:8" x14ac:dyDescent="0.25">
      <c r="B1458" s="6"/>
      <c r="C1458" s="6"/>
      <c r="D1458" s="6"/>
      <c r="E1458" s="6"/>
      <c r="F1458" s="6"/>
      <c r="G1458" s="6"/>
      <c r="H1458" s="6"/>
    </row>
    <row r="1459" spans="2:8" x14ac:dyDescent="0.25">
      <c r="B1459" s="6"/>
      <c r="C1459" s="6"/>
      <c r="D1459" s="6"/>
      <c r="E1459" s="6"/>
      <c r="F1459" s="6"/>
      <c r="G1459" s="6"/>
      <c r="H1459" s="6"/>
    </row>
    <row r="1460" spans="2:8" x14ac:dyDescent="0.25">
      <c r="B1460" s="6"/>
      <c r="C1460" s="6"/>
      <c r="D1460" s="6"/>
      <c r="E1460" s="6"/>
      <c r="F1460" s="6"/>
      <c r="G1460" s="6"/>
      <c r="H1460" s="6"/>
    </row>
    <row r="1461" spans="2:8" x14ac:dyDescent="0.25">
      <c r="B1461" s="6"/>
      <c r="C1461" s="6"/>
      <c r="D1461" s="6"/>
      <c r="E1461" s="6"/>
      <c r="F1461" s="6"/>
    </row>
    <row r="1462" spans="2:8" x14ac:dyDescent="0.25">
      <c r="B1462" s="6"/>
      <c r="C1462" s="6"/>
      <c r="D1462" s="6"/>
      <c r="E1462" s="6"/>
      <c r="F1462" s="6"/>
    </row>
    <row r="1463" spans="2:8" x14ac:dyDescent="0.25">
      <c r="B1463" s="6"/>
      <c r="C1463" s="6"/>
      <c r="D1463" s="6"/>
      <c r="E1463" s="6"/>
      <c r="F1463" s="6"/>
    </row>
    <row r="1464" spans="2:8" x14ac:dyDescent="0.25">
      <c r="B1464" s="6"/>
      <c r="C1464" s="6"/>
      <c r="D1464" s="6"/>
      <c r="E1464" s="6"/>
      <c r="F1464" s="6"/>
    </row>
    <row r="1465" spans="2:8" x14ac:dyDescent="0.25">
      <c r="B1465" s="6"/>
      <c r="C1465" s="6"/>
      <c r="D1465" s="6"/>
      <c r="E1465" s="6"/>
      <c r="F1465" s="6"/>
    </row>
    <row r="1466" spans="2:8" x14ac:dyDescent="0.25">
      <c r="B1466" s="6"/>
      <c r="C1466" s="6"/>
      <c r="D1466" s="6"/>
      <c r="E1466" s="6"/>
      <c r="F1466" s="6"/>
    </row>
    <row r="1467" spans="2:8" x14ac:dyDescent="0.25">
      <c r="B1467" s="6"/>
      <c r="C1467" s="6"/>
      <c r="D1467" s="6"/>
      <c r="E1467" s="6"/>
      <c r="F1467" s="6"/>
    </row>
    <row r="1468" spans="2:8" x14ac:dyDescent="0.25">
      <c r="B1468" s="6"/>
      <c r="C1468" s="6"/>
      <c r="D1468" s="6"/>
      <c r="E1468" s="6"/>
      <c r="F1468" s="6"/>
    </row>
    <row r="1469" spans="2:8" x14ac:dyDescent="0.25">
      <c r="B1469" s="6"/>
      <c r="C1469" s="6"/>
      <c r="D1469" s="6"/>
      <c r="E1469" s="6"/>
      <c r="F1469" s="6"/>
    </row>
    <row r="1470" spans="2:8" x14ac:dyDescent="0.25">
      <c r="B1470" s="6"/>
      <c r="C1470" s="6"/>
      <c r="D1470" s="6"/>
      <c r="E1470" s="6"/>
      <c r="F1470" s="6"/>
    </row>
    <row r="1471" spans="2:8" x14ac:dyDescent="0.25">
      <c r="B1471" s="6"/>
      <c r="C1471" s="6"/>
      <c r="D1471" s="6"/>
      <c r="E1471" s="6"/>
      <c r="F1471" s="6"/>
    </row>
    <row r="1472" spans="2:8" x14ac:dyDescent="0.25">
      <c r="B1472" s="6"/>
      <c r="C1472" s="6"/>
      <c r="D1472" s="6"/>
      <c r="E1472" s="6"/>
      <c r="F1472" s="6"/>
    </row>
    <row r="1473" spans="2:6" x14ac:dyDescent="0.25">
      <c r="B1473" s="6"/>
      <c r="C1473" s="6"/>
      <c r="D1473" s="6"/>
      <c r="E1473" s="6"/>
      <c r="F1473" s="6"/>
    </row>
    <row r="1474" spans="2:6" x14ac:dyDescent="0.25">
      <c r="B1474" s="6"/>
      <c r="C1474" s="6"/>
      <c r="D1474" s="6"/>
      <c r="E1474" s="6"/>
      <c r="F1474" s="6"/>
    </row>
    <row r="1475" spans="2:6" x14ac:dyDescent="0.25">
      <c r="B1475" s="6"/>
      <c r="C1475" s="6"/>
      <c r="D1475" s="6"/>
      <c r="E1475" s="6"/>
      <c r="F1475" s="6"/>
    </row>
    <row r="1476" spans="2:6" x14ac:dyDescent="0.25">
      <c r="B1476" s="6"/>
      <c r="C1476" s="6"/>
      <c r="D1476" s="6"/>
      <c r="E1476" s="6"/>
      <c r="F1476" s="6"/>
    </row>
    <row r="1477" spans="2:6" x14ac:dyDescent="0.25">
      <c r="B1477" s="6"/>
      <c r="C1477" s="6"/>
      <c r="D1477" s="6"/>
      <c r="E1477" s="6"/>
      <c r="F1477" s="6"/>
    </row>
    <row r="1478" spans="2:6" x14ac:dyDescent="0.25">
      <c r="B1478" s="6"/>
      <c r="C1478" s="6"/>
      <c r="D1478" s="6"/>
      <c r="E1478" s="6"/>
      <c r="F1478" s="6"/>
    </row>
    <row r="1479" spans="2:6" x14ac:dyDescent="0.25">
      <c r="B1479" s="6"/>
      <c r="C1479" s="6"/>
      <c r="D1479" s="6"/>
      <c r="E1479" s="6"/>
      <c r="F1479" s="6"/>
    </row>
    <row r="1480" spans="2:6" x14ac:dyDescent="0.25">
      <c r="B1480" s="6"/>
      <c r="C1480" s="6"/>
      <c r="D1480" s="6"/>
      <c r="E1480" s="6"/>
      <c r="F1480" s="6"/>
    </row>
    <row r="1481" spans="2:6" x14ac:dyDescent="0.25">
      <c r="B1481" s="6"/>
      <c r="C1481" s="6"/>
      <c r="D1481" s="6"/>
      <c r="E1481" s="6"/>
      <c r="F1481" s="6"/>
    </row>
    <row r="1482" spans="2:6" x14ac:dyDescent="0.25">
      <c r="B1482" s="6"/>
      <c r="C1482" s="6"/>
      <c r="D1482" s="6"/>
      <c r="E1482" s="6"/>
      <c r="F1482" s="6"/>
    </row>
    <row r="1483" spans="2:6" x14ac:dyDescent="0.25">
      <c r="B1483" s="6"/>
      <c r="C1483" s="6"/>
      <c r="D1483" s="6"/>
      <c r="E1483" s="6"/>
      <c r="F1483" s="6"/>
    </row>
    <row r="1484" spans="2:6" x14ac:dyDescent="0.25">
      <c r="B1484" s="6"/>
      <c r="C1484" s="6"/>
      <c r="D1484" s="6"/>
      <c r="E1484" s="6"/>
      <c r="F1484" s="6"/>
    </row>
    <row r="1485" spans="2:6" x14ac:dyDescent="0.25">
      <c r="B1485" s="6"/>
      <c r="C1485" s="6"/>
      <c r="D1485" s="6"/>
      <c r="E1485" s="6"/>
      <c r="F1485" s="6"/>
    </row>
    <row r="1486" spans="2:6" x14ac:dyDescent="0.25">
      <c r="B1486" s="6"/>
      <c r="C1486" s="6"/>
      <c r="D1486" s="6"/>
      <c r="E1486" s="6"/>
      <c r="F1486" s="6"/>
    </row>
    <row r="1487" spans="2:6" x14ac:dyDescent="0.25">
      <c r="B1487" s="6"/>
      <c r="C1487" s="6"/>
      <c r="D1487" s="6"/>
      <c r="E1487" s="6"/>
      <c r="F1487" s="6"/>
    </row>
    <row r="1488" spans="2:6" x14ac:dyDescent="0.25">
      <c r="B1488" s="6"/>
      <c r="C1488" s="6"/>
      <c r="D1488" s="6"/>
      <c r="E1488" s="6"/>
      <c r="F1488" s="6"/>
    </row>
    <row r="1489" spans="2:6" x14ac:dyDescent="0.25">
      <c r="B1489" s="6"/>
      <c r="C1489" s="6"/>
      <c r="D1489" s="6"/>
      <c r="E1489" s="6"/>
      <c r="F1489" s="6"/>
    </row>
    <row r="1490" spans="2:6" x14ac:dyDescent="0.25">
      <c r="B1490" s="6"/>
      <c r="C1490" s="6"/>
      <c r="D1490" s="6"/>
      <c r="E1490" s="6"/>
      <c r="F1490" s="6"/>
    </row>
    <row r="1491" spans="2:6" x14ac:dyDescent="0.25">
      <c r="B1491" s="6"/>
      <c r="C1491" s="6"/>
      <c r="D1491" s="6"/>
      <c r="E1491" s="6"/>
      <c r="F1491" s="6"/>
    </row>
    <row r="1492" spans="2:6" x14ac:dyDescent="0.25">
      <c r="B1492" s="6"/>
      <c r="C1492" s="6"/>
      <c r="D1492" s="6"/>
      <c r="E1492" s="6"/>
      <c r="F1492" s="6"/>
    </row>
    <row r="1493" spans="2:6" x14ac:dyDescent="0.25">
      <c r="B1493" s="6"/>
      <c r="C1493" s="6"/>
      <c r="D1493" s="6"/>
      <c r="E1493" s="6"/>
      <c r="F1493" s="6"/>
    </row>
    <row r="1494" spans="2:6" x14ac:dyDescent="0.25">
      <c r="B1494" s="6"/>
      <c r="C1494" s="6"/>
      <c r="D1494" s="6"/>
      <c r="E1494" s="6"/>
      <c r="F1494" s="6"/>
    </row>
    <row r="1495" spans="2:6" x14ac:dyDescent="0.25">
      <c r="B1495" s="6"/>
      <c r="C1495" s="6"/>
      <c r="D1495" s="6"/>
      <c r="E1495" s="6"/>
      <c r="F1495" s="6"/>
    </row>
    <row r="1496" spans="2:6" x14ac:dyDescent="0.25">
      <c r="B1496" s="6"/>
      <c r="C1496" s="6"/>
      <c r="D1496" s="6"/>
      <c r="E1496" s="6"/>
      <c r="F1496" s="6"/>
    </row>
    <row r="1497" spans="2:6" x14ac:dyDescent="0.25">
      <c r="B1497" s="6"/>
      <c r="C1497" s="6"/>
      <c r="D1497" s="6"/>
      <c r="E1497" s="6"/>
      <c r="F1497" s="6"/>
    </row>
    <row r="1498" spans="2:6" x14ac:dyDescent="0.25">
      <c r="B1498" s="6"/>
      <c r="C1498" s="6"/>
      <c r="D1498" s="6"/>
      <c r="E1498" s="6"/>
      <c r="F1498" s="6"/>
    </row>
    <row r="1499" spans="2:6" x14ac:dyDescent="0.25">
      <c r="B1499" s="6"/>
      <c r="C1499" s="6"/>
      <c r="D1499" s="6"/>
      <c r="E1499" s="6"/>
      <c r="F1499" s="6"/>
    </row>
    <row r="1500" spans="2:6" x14ac:dyDescent="0.25">
      <c r="B1500" s="6"/>
      <c r="C1500" s="6"/>
      <c r="D1500" s="6"/>
      <c r="E1500" s="6"/>
      <c r="F1500" s="6"/>
    </row>
    <row r="1501" spans="2:6" x14ac:dyDescent="0.25">
      <c r="B1501" s="6"/>
      <c r="C1501" s="6"/>
      <c r="D1501" s="6"/>
      <c r="E1501" s="6"/>
      <c r="F1501" s="6"/>
    </row>
    <row r="1502" spans="2:6" x14ac:dyDescent="0.25">
      <c r="B1502" s="6"/>
      <c r="C1502" s="6"/>
      <c r="D1502" s="6"/>
      <c r="E1502" s="6"/>
      <c r="F1502" s="6"/>
    </row>
    <row r="1503" spans="2:6" x14ac:dyDescent="0.25">
      <c r="B1503" s="6"/>
      <c r="C1503" s="6"/>
      <c r="D1503" s="6"/>
      <c r="E1503" s="6"/>
      <c r="F1503" s="6"/>
    </row>
    <row r="1504" spans="2:6" x14ac:dyDescent="0.25">
      <c r="B1504" s="6"/>
      <c r="C1504" s="6"/>
      <c r="D1504" s="6"/>
      <c r="E1504" s="6"/>
      <c r="F1504" s="6"/>
    </row>
    <row r="1505" spans="2:6" x14ac:dyDescent="0.25">
      <c r="B1505" s="6"/>
      <c r="C1505" s="6"/>
      <c r="D1505" s="6"/>
      <c r="E1505" s="6"/>
      <c r="F1505" s="6"/>
    </row>
    <row r="1506" spans="2:6" x14ac:dyDescent="0.25">
      <c r="B1506" s="6"/>
      <c r="C1506" s="6"/>
      <c r="D1506" s="6"/>
      <c r="E1506" s="6"/>
      <c r="F1506" s="6"/>
    </row>
    <row r="1507" spans="2:6" x14ac:dyDescent="0.25">
      <c r="B1507" s="6"/>
      <c r="C1507" s="6"/>
      <c r="D1507" s="6"/>
      <c r="E1507" s="6"/>
      <c r="F1507" s="6"/>
    </row>
    <row r="1508" spans="2:6" x14ac:dyDescent="0.25">
      <c r="B1508" s="6"/>
      <c r="C1508" s="6"/>
      <c r="D1508" s="6"/>
      <c r="E1508" s="6"/>
      <c r="F1508" s="6"/>
    </row>
    <row r="1509" spans="2:6" x14ac:dyDescent="0.25">
      <c r="B1509" s="6"/>
      <c r="C1509" s="6"/>
      <c r="D1509" s="6"/>
      <c r="E1509" s="6"/>
      <c r="F1509" s="6"/>
    </row>
    <row r="1510" spans="2:6" x14ac:dyDescent="0.25">
      <c r="B1510" s="6"/>
      <c r="C1510" s="6"/>
      <c r="D1510" s="6"/>
      <c r="E1510" s="6"/>
      <c r="F1510" s="6"/>
    </row>
    <row r="1511" spans="2:6" x14ac:dyDescent="0.25">
      <c r="B1511" s="6"/>
      <c r="C1511" s="6"/>
      <c r="D1511" s="6"/>
      <c r="E1511" s="6"/>
      <c r="F1511" s="6"/>
    </row>
    <row r="1512" spans="2:6" x14ac:dyDescent="0.25">
      <c r="B1512" s="6"/>
      <c r="C1512" s="6"/>
      <c r="D1512" s="6"/>
      <c r="E1512" s="6"/>
      <c r="F1512" s="6"/>
    </row>
    <row r="1513" spans="2:6" x14ac:dyDescent="0.25">
      <c r="B1513" s="6"/>
      <c r="C1513" s="6"/>
      <c r="D1513" s="6"/>
      <c r="E1513" s="6"/>
      <c r="F1513" s="6"/>
    </row>
    <row r="1514" spans="2:6" x14ac:dyDescent="0.25">
      <c r="B1514" s="6"/>
      <c r="C1514" s="6"/>
      <c r="D1514" s="6"/>
      <c r="E1514" s="6"/>
      <c r="F1514" s="6"/>
    </row>
    <row r="1515" spans="2:6" x14ac:dyDescent="0.25">
      <c r="B1515" s="6"/>
      <c r="C1515" s="6"/>
      <c r="D1515" s="6"/>
      <c r="E1515" s="6"/>
      <c r="F1515" s="6"/>
    </row>
    <row r="1516" spans="2:6" x14ac:dyDescent="0.25">
      <c r="B1516" s="6"/>
      <c r="C1516" s="6"/>
      <c r="D1516" s="6"/>
      <c r="E1516" s="6"/>
      <c r="F1516" s="6"/>
    </row>
    <row r="1517" spans="2:6" x14ac:dyDescent="0.25">
      <c r="B1517" s="6"/>
      <c r="C1517" s="6"/>
      <c r="D1517" s="6"/>
      <c r="E1517" s="6"/>
      <c r="F1517" s="6"/>
    </row>
    <row r="1518" spans="2:6" x14ac:dyDescent="0.25">
      <c r="B1518" s="6"/>
      <c r="C1518" s="6"/>
      <c r="D1518" s="6"/>
      <c r="E1518" s="6"/>
      <c r="F1518" s="6"/>
    </row>
    <row r="1519" spans="2:6" x14ac:dyDescent="0.25">
      <c r="B1519" s="6"/>
      <c r="C1519" s="6"/>
      <c r="D1519" s="6"/>
      <c r="E1519" s="6"/>
      <c r="F1519" s="6"/>
    </row>
    <row r="1520" spans="2:6" x14ac:dyDescent="0.25">
      <c r="B1520" s="6"/>
      <c r="C1520" s="6"/>
      <c r="D1520" s="6"/>
      <c r="E1520" s="6"/>
      <c r="F1520" s="6"/>
    </row>
    <row r="1521" spans="2:6" x14ac:dyDescent="0.25">
      <c r="B1521" s="6"/>
      <c r="C1521" s="6"/>
      <c r="D1521" s="6"/>
      <c r="E1521" s="6"/>
      <c r="F1521" s="6"/>
    </row>
    <row r="1522" spans="2:6" x14ac:dyDescent="0.25">
      <c r="B1522" s="6"/>
      <c r="C1522" s="6"/>
      <c r="D1522" s="6"/>
      <c r="E1522" s="6"/>
      <c r="F1522" s="6"/>
    </row>
    <row r="1523" spans="2:6" x14ac:dyDescent="0.25">
      <c r="B1523" s="6"/>
      <c r="C1523" s="6"/>
      <c r="D1523" s="6"/>
      <c r="E1523" s="6"/>
      <c r="F1523" s="6"/>
    </row>
    <row r="1524" spans="2:6" x14ac:dyDescent="0.25">
      <c r="B1524" s="6"/>
      <c r="C1524" s="6"/>
      <c r="D1524" s="6"/>
      <c r="E1524" s="6"/>
      <c r="F1524" s="6"/>
    </row>
    <row r="1525" spans="2:6" x14ac:dyDescent="0.25">
      <c r="B1525" s="6"/>
      <c r="C1525" s="6"/>
      <c r="D1525" s="6"/>
      <c r="E1525" s="6"/>
      <c r="F1525" s="6"/>
    </row>
    <row r="1526" spans="2:6" x14ac:dyDescent="0.25">
      <c r="B1526" s="6"/>
      <c r="C1526" s="6"/>
      <c r="D1526" s="6"/>
      <c r="E1526" s="6"/>
      <c r="F1526" s="6"/>
    </row>
    <row r="1527" spans="2:6" x14ac:dyDescent="0.25">
      <c r="B1527" s="6"/>
      <c r="C1527" s="6"/>
      <c r="D1527" s="6"/>
      <c r="E1527" s="6"/>
      <c r="F1527" s="6"/>
    </row>
    <row r="1528" spans="2:6" x14ac:dyDescent="0.25">
      <c r="B1528" s="6"/>
      <c r="C1528" s="6"/>
      <c r="D1528" s="6"/>
      <c r="E1528" s="6"/>
      <c r="F1528" s="6"/>
    </row>
    <row r="1529" spans="2:6" x14ac:dyDescent="0.25">
      <c r="B1529" s="6"/>
      <c r="C1529" s="6"/>
      <c r="D1529" s="6"/>
      <c r="E1529" s="6"/>
      <c r="F1529" s="6"/>
    </row>
    <row r="1530" spans="2:6" x14ac:dyDescent="0.25">
      <c r="B1530" s="6"/>
      <c r="C1530" s="6"/>
      <c r="D1530" s="6"/>
      <c r="E1530" s="6"/>
      <c r="F1530" s="6"/>
    </row>
    <row r="1531" spans="2:6" x14ac:dyDescent="0.25">
      <c r="B1531" s="6"/>
      <c r="C1531" s="6"/>
      <c r="D1531" s="6"/>
      <c r="E1531" s="6"/>
      <c r="F1531" s="6"/>
    </row>
    <row r="1532" spans="2:6" x14ac:dyDescent="0.25">
      <c r="B1532" s="6"/>
      <c r="C1532" s="6"/>
      <c r="D1532" s="6"/>
      <c r="E1532" s="6"/>
      <c r="F1532" s="6"/>
    </row>
    <row r="1533" spans="2:6" x14ac:dyDescent="0.25">
      <c r="B1533" s="6"/>
      <c r="C1533" s="6"/>
      <c r="D1533" s="6"/>
      <c r="E1533" s="6"/>
      <c r="F1533" s="6"/>
    </row>
    <row r="1534" spans="2:6" x14ac:dyDescent="0.25">
      <c r="B1534" s="6"/>
      <c r="C1534" s="6"/>
      <c r="D1534" s="6"/>
      <c r="E1534" s="6"/>
      <c r="F1534" s="6"/>
    </row>
    <row r="1535" spans="2:6" x14ac:dyDescent="0.25">
      <c r="B1535" s="6"/>
      <c r="C1535" s="6"/>
      <c r="D1535" s="6"/>
      <c r="E1535" s="6"/>
      <c r="F1535" s="6"/>
    </row>
    <row r="1536" spans="2:6" x14ac:dyDescent="0.25">
      <c r="B1536" s="6"/>
      <c r="C1536" s="6"/>
      <c r="D1536" s="6"/>
      <c r="E1536" s="6"/>
      <c r="F1536" s="6"/>
    </row>
    <row r="1537" spans="2:6" x14ac:dyDescent="0.25">
      <c r="B1537" s="6"/>
      <c r="C1537" s="6"/>
      <c r="D1537" s="6"/>
      <c r="E1537" s="6"/>
      <c r="F1537" s="6"/>
    </row>
    <row r="1538" spans="2:6" x14ac:dyDescent="0.25">
      <c r="B1538" s="6"/>
      <c r="C1538" s="6"/>
      <c r="D1538" s="6"/>
      <c r="E1538" s="6"/>
      <c r="F1538" s="6"/>
    </row>
    <row r="1539" spans="2:6" x14ac:dyDescent="0.25">
      <c r="B1539" s="6"/>
      <c r="C1539" s="6"/>
      <c r="D1539" s="6"/>
      <c r="E1539" s="6"/>
      <c r="F1539" s="6"/>
    </row>
    <row r="1540" spans="2:6" x14ac:dyDescent="0.25">
      <c r="B1540" s="6"/>
      <c r="C1540" s="6"/>
      <c r="D1540" s="6"/>
      <c r="E1540" s="6"/>
      <c r="F1540" s="6"/>
    </row>
    <row r="1541" spans="2:6" x14ac:dyDescent="0.25">
      <c r="B1541" s="6"/>
      <c r="C1541" s="6"/>
      <c r="D1541" s="6"/>
      <c r="E1541" s="6"/>
      <c r="F1541" s="6"/>
    </row>
    <row r="1542" spans="2:6" x14ac:dyDescent="0.25">
      <c r="B1542" s="6"/>
      <c r="C1542" s="6"/>
      <c r="D1542" s="6"/>
      <c r="E1542" s="6"/>
      <c r="F1542" s="6"/>
    </row>
    <row r="1543" spans="2:6" x14ac:dyDescent="0.25">
      <c r="B1543" s="6"/>
      <c r="C1543" s="6"/>
      <c r="D1543" s="6"/>
      <c r="E1543" s="6"/>
      <c r="F1543" s="6"/>
    </row>
    <row r="1544" spans="2:6" x14ac:dyDescent="0.25">
      <c r="B1544" s="6"/>
      <c r="C1544" s="6"/>
      <c r="D1544" s="6"/>
      <c r="E1544" s="6"/>
      <c r="F1544" s="6"/>
    </row>
    <row r="1545" spans="2:6" x14ac:dyDescent="0.25">
      <c r="B1545" s="6"/>
      <c r="C1545" s="6"/>
      <c r="D1545" s="6"/>
      <c r="E1545" s="6"/>
      <c r="F1545" s="6"/>
    </row>
    <row r="1546" spans="2:6" x14ac:dyDescent="0.25">
      <c r="B1546" s="6"/>
      <c r="C1546" s="6"/>
      <c r="D1546" s="6"/>
      <c r="E1546" s="6"/>
      <c r="F1546" s="6"/>
    </row>
    <row r="1547" spans="2:6" x14ac:dyDescent="0.25">
      <c r="B1547" s="6"/>
      <c r="C1547" s="6"/>
      <c r="D1547" s="6"/>
      <c r="E1547" s="6"/>
      <c r="F1547" s="6"/>
    </row>
    <row r="1548" spans="2:6" x14ac:dyDescent="0.25">
      <c r="B1548" s="6"/>
      <c r="C1548" s="6"/>
      <c r="D1548" s="6"/>
      <c r="E1548" s="6"/>
      <c r="F1548" s="6"/>
    </row>
    <row r="1549" spans="2:6" x14ac:dyDescent="0.25">
      <c r="B1549" s="6"/>
      <c r="C1549" s="6"/>
      <c r="D1549" s="6"/>
      <c r="E1549" s="6"/>
      <c r="F1549" s="6"/>
    </row>
    <row r="1550" spans="2:6" x14ac:dyDescent="0.25">
      <c r="B1550" s="6"/>
      <c r="C1550" s="6"/>
      <c r="D1550" s="6"/>
      <c r="E1550" s="6"/>
      <c r="F1550" s="6"/>
    </row>
    <row r="1551" spans="2:6" x14ac:dyDescent="0.25">
      <c r="B1551" s="6"/>
      <c r="C1551" s="6"/>
      <c r="D1551" s="6"/>
      <c r="E1551" s="6"/>
      <c r="F1551" s="6"/>
    </row>
    <row r="1552" spans="2:6" x14ac:dyDescent="0.25">
      <c r="B1552" s="6"/>
      <c r="C1552" s="6"/>
      <c r="D1552" s="6"/>
      <c r="E1552" s="6"/>
      <c r="F1552" s="6"/>
    </row>
    <row r="1553" spans="2:6" x14ac:dyDescent="0.25">
      <c r="B1553" s="6"/>
      <c r="C1553" s="6"/>
      <c r="D1553" s="6"/>
      <c r="E1553" s="6"/>
      <c r="F1553" s="6"/>
    </row>
    <row r="1554" spans="2:6" x14ac:dyDescent="0.25">
      <c r="B1554" s="6"/>
      <c r="C1554" s="6"/>
      <c r="D1554" s="6"/>
      <c r="E1554" s="6"/>
      <c r="F1554" s="6"/>
    </row>
    <row r="1555" spans="2:6" x14ac:dyDescent="0.25">
      <c r="B1555" s="6"/>
      <c r="C1555" s="6"/>
      <c r="D1555" s="6"/>
      <c r="E1555" s="6"/>
      <c r="F1555" s="6"/>
    </row>
    <row r="1556" spans="2:6" x14ac:dyDescent="0.25">
      <c r="B1556" s="6"/>
      <c r="C1556" s="6"/>
      <c r="D1556" s="6"/>
      <c r="E1556" s="6"/>
      <c r="F1556" s="6"/>
    </row>
    <row r="1557" spans="2:6" x14ac:dyDescent="0.25">
      <c r="B1557" s="6"/>
      <c r="C1557" s="6"/>
      <c r="D1557" s="6"/>
      <c r="E1557" s="6"/>
      <c r="F1557" s="6"/>
    </row>
    <row r="1558" spans="2:6" x14ac:dyDescent="0.25">
      <c r="B1558" s="6"/>
      <c r="C1558" s="6"/>
      <c r="D1558" s="6"/>
      <c r="E1558" s="6"/>
      <c r="F1558" s="6"/>
    </row>
    <row r="1559" spans="2:6" x14ac:dyDescent="0.25">
      <c r="B1559" s="6"/>
      <c r="C1559" s="6"/>
      <c r="D1559" s="6"/>
      <c r="E1559" s="6"/>
      <c r="F1559" s="6"/>
    </row>
    <row r="1560" spans="2:6" x14ac:dyDescent="0.25">
      <c r="B1560" s="6"/>
      <c r="C1560" s="6"/>
      <c r="D1560" s="6"/>
      <c r="E1560" s="6"/>
      <c r="F1560" s="6"/>
    </row>
    <row r="1561" spans="2:6" x14ac:dyDescent="0.25">
      <c r="B1561" s="6"/>
      <c r="C1561" s="6"/>
      <c r="D1561" s="6"/>
      <c r="E1561" s="6"/>
      <c r="F1561" s="6"/>
    </row>
    <row r="1562" spans="2:6" x14ac:dyDescent="0.25">
      <c r="B1562" s="6"/>
      <c r="C1562" s="6"/>
      <c r="D1562" s="6"/>
      <c r="E1562" s="6"/>
      <c r="F1562" s="6"/>
    </row>
    <row r="1563" spans="2:6" x14ac:dyDescent="0.25">
      <c r="B1563" s="6"/>
      <c r="C1563" s="6"/>
      <c r="D1563" s="6"/>
      <c r="E1563" s="6"/>
      <c r="F1563" s="6"/>
    </row>
    <row r="1564" spans="2:6" x14ac:dyDescent="0.25">
      <c r="B1564" s="6"/>
      <c r="C1564" s="6"/>
      <c r="D1564" s="6"/>
      <c r="E1564" s="6"/>
      <c r="F1564" s="6"/>
    </row>
    <row r="1565" spans="2:6" x14ac:dyDescent="0.25">
      <c r="B1565" s="6"/>
      <c r="C1565" s="6"/>
      <c r="D1565" s="6"/>
      <c r="E1565" s="6"/>
      <c r="F1565" s="6"/>
    </row>
    <row r="1566" spans="2:6" x14ac:dyDescent="0.25">
      <c r="B1566" s="6"/>
      <c r="C1566" s="6"/>
      <c r="D1566" s="6"/>
      <c r="E1566" s="6"/>
      <c r="F1566" s="6"/>
    </row>
    <row r="1567" spans="2:6" x14ac:dyDescent="0.25">
      <c r="B1567" s="6"/>
      <c r="C1567" s="6"/>
      <c r="D1567" s="6"/>
      <c r="E1567" s="6"/>
      <c r="F1567" s="6"/>
    </row>
    <row r="1568" spans="2:6" x14ac:dyDescent="0.25">
      <c r="B1568" s="6"/>
      <c r="C1568" s="6"/>
      <c r="D1568" s="6"/>
      <c r="E1568" s="6"/>
      <c r="F1568" s="6"/>
    </row>
    <row r="1569" spans="2:6" x14ac:dyDescent="0.25">
      <c r="B1569" s="6"/>
      <c r="C1569" s="6"/>
      <c r="D1569" s="6"/>
      <c r="E1569" s="6"/>
      <c r="F1569" s="6"/>
    </row>
    <row r="1570" spans="2:6" x14ac:dyDescent="0.25">
      <c r="B1570" s="6"/>
      <c r="C1570" s="6"/>
      <c r="D1570" s="6"/>
      <c r="E1570" s="6"/>
      <c r="F1570" s="6"/>
    </row>
    <row r="1571" spans="2:6" x14ac:dyDescent="0.25">
      <c r="B1571" s="6"/>
      <c r="C1571" s="6"/>
      <c r="D1571" s="6"/>
      <c r="E1571" s="6"/>
      <c r="F1571" s="6"/>
    </row>
    <row r="1572" spans="2:6" x14ac:dyDescent="0.25">
      <c r="B1572" s="6"/>
      <c r="C1572" s="6"/>
      <c r="D1572" s="6"/>
      <c r="E1572" s="6"/>
      <c r="F1572" s="6"/>
    </row>
    <row r="1573" spans="2:6" x14ac:dyDescent="0.25">
      <c r="B1573" s="6"/>
      <c r="C1573" s="6"/>
      <c r="D1573" s="6"/>
      <c r="E1573" s="6"/>
      <c r="F1573" s="6"/>
    </row>
    <row r="1574" spans="2:6" x14ac:dyDescent="0.25">
      <c r="B1574" s="6"/>
      <c r="C1574" s="6"/>
      <c r="D1574" s="6"/>
      <c r="E1574" s="6"/>
      <c r="F1574" s="6"/>
    </row>
    <row r="1575" spans="2:6" x14ac:dyDescent="0.25">
      <c r="B1575" s="6"/>
      <c r="C1575" s="6"/>
      <c r="D1575" s="6"/>
      <c r="E1575" s="6"/>
      <c r="F1575" s="6"/>
    </row>
    <row r="1576" spans="2:6" x14ac:dyDescent="0.25">
      <c r="B1576" s="6"/>
      <c r="C1576" s="6"/>
      <c r="D1576" s="6"/>
      <c r="E1576" s="6"/>
      <c r="F1576" s="6"/>
    </row>
    <row r="1577" spans="2:6" x14ac:dyDescent="0.25">
      <c r="B1577" s="6"/>
      <c r="C1577" s="6"/>
      <c r="D1577" s="6"/>
      <c r="E1577" s="6"/>
      <c r="F1577" s="6"/>
    </row>
    <row r="1578" spans="2:6" x14ac:dyDescent="0.25">
      <c r="B1578" s="6"/>
      <c r="C1578" s="6"/>
      <c r="D1578" s="6"/>
      <c r="E1578" s="6"/>
      <c r="F1578" s="6"/>
    </row>
    <row r="1579" spans="2:6" x14ac:dyDescent="0.25">
      <c r="B1579" s="6"/>
      <c r="C1579" s="6"/>
      <c r="D1579" s="6"/>
      <c r="E1579" s="6"/>
      <c r="F1579" s="6"/>
    </row>
    <row r="1580" spans="2:6" x14ac:dyDescent="0.25">
      <c r="B1580" s="6"/>
      <c r="C1580" s="6"/>
      <c r="D1580" s="6"/>
      <c r="E1580" s="6"/>
      <c r="F1580" s="6"/>
    </row>
    <row r="1581" spans="2:6" x14ac:dyDescent="0.25">
      <c r="B1581" s="6"/>
      <c r="C1581" s="6"/>
      <c r="D1581" s="6"/>
      <c r="E1581" s="6"/>
      <c r="F1581" s="6"/>
    </row>
    <row r="1582" spans="2:6" x14ac:dyDescent="0.25">
      <c r="B1582" s="6"/>
      <c r="C1582" s="6"/>
      <c r="D1582" s="6"/>
      <c r="E1582" s="6"/>
      <c r="F1582" s="6"/>
    </row>
    <row r="1583" spans="2:6" x14ac:dyDescent="0.25">
      <c r="B1583" s="6"/>
      <c r="C1583" s="6"/>
      <c r="D1583" s="6"/>
      <c r="E1583" s="6"/>
      <c r="F1583" s="6"/>
    </row>
    <row r="1584" spans="2:6" x14ac:dyDescent="0.25">
      <c r="B1584" s="6"/>
      <c r="C1584" s="6"/>
      <c r="D1584" s="6"/>
      <c r="E1584" s="6"/>
      <c r="F1584" s="6"/>
    </row>
    <row r="1585" spans="2:6" x14ac:dyDescent="0.25">
      <c r="B1585" s="6"/>
      <c r="C1585" s="6"/>
      <c r="D1585" s="6"/>
      <c r="E1585" s="6"/>
      <c r="F1585" s="6"/>
    </row>
    <row r="1586" spans="2:6" x14ac:dyDescent="0.25">
      <c r="B1586" s="6"/>
      <c r="C1586" s="6"/>
      <c r="D1586" s="6"/>
      <c r="E1586" s="6"/>
      <c r="F1586" s="6"/>
    </row>
    <row r="1587" spans="2:6" x14ac:dyDescent="0.25">
      <c r="B1587" s="6"/>
      <c r="C1587" s="6"/>
      <c r="D1587" s="6"/>
      <c r="E1587" s="6"/>
      <c r="F1587" s="6"/>
    </row>
    <row r="1588" spans="2:6" x14ac:dyDescent="0.25">
      <c r="B1588" s="6"/>
      <c r="C1588" s="6"/>
      <c r="D1588" s="6"/>
      <c r="E1588" s="6"/>
      <c r="F1588" s="6"/>
    </row>
    <row r="1589" spans="2:6" x14ac:dyDescent="0.25">
      <c r="B1589" s="6"/>
      <c r="C1589" s="6"/>
      <c r="D1589" s="6"/>
      <c r="E1589" s="6"/>
      <c r="F1589" s="6"/>
    </row>
    <row r="1590" spans="2:6" x14ac:dyDescent="0.25">
      <c r="B1590" s="6"/>
      <c r="C1590" s="6"/>
      <c r="D1590" s="6"/>
      <c r="E1590" s="6"/>
      <c r="F1590" s="6"/>
    </row>
    <row r="1591" spans="2:6" x14ac:dyDescent="0.25">
      <c r="B1591" s="6"/>
      <c r="C1591" s="6"/>
      <c r="D1591" s="6"/>
      <c r="E1591" s="6"/>
      <c r="F1591" s="6"/>
    </row>
    <row r="1592" spans="2:6" x14ac:dyDescent="0.25">
      <c r="B1592" s="6"/>
      <c r="C1592" s="6"/>
      <c r="D1592" s="6"/>
      <c r="E1592" s="6"/>
      <c r="F1592" s="6"/>
    </row>
    <row r="1593" spans="2:6" x14ac:dyDescent="0.25">
      <c r="B1593" s="6"/>
      <c r="C1593" s="6"/>
      <c r="D1593" s="6"/>
      <c r="E1593" s="6"/>
      <c r="F1593" s="6"/>
    </row>
    <row r="1594" spans="2:6" x14ac:dyDescent="0.25">
      <c r="B1594" s="6"/>
      <c r="C1594" s="6"/>
      <c r="D1594" s="6"/>
      <c r="E1594" s="6"/>
      <c r="F1594" s="6"/>
    </row>
    <row r="1595" spans="2:6" x14ac:dyDescent="0.25">
      <c r="B1595" s="6"/>
      <c r="C1595" s="6"/>
      <c r="D1595" s="6"/>
      <c r="E1595" s="6"/>
      <c r="F1595" s="6"/>
    </row>
    <row r="1596" spans="2:6" x14ac:dyDescent="0.25">
      <c r="B1596" s="6"/>
      <c r="C1596" s="6"/>
      <c r="D1596" s="6"/>
      <c r="E1596" s="6"/>
      <c r="F1596" s="6"/>
    </row>
    <row r="1597" spans="2:6" x14ac:dyDescent="0.25">
      <c r="B1597" s="6"/>
      <c r="C1597" s="6"/>
      <c r="D1597" s="6"/>
      <c r="E1597" s="6"/>
      <c r="F1597" s="6"/>
    </row>
    <row r="1598" spans="2:6" x14ac:dyDescent="0.25">
      <c r="B1598" s="6"/>
      <c r="C1598" s="6"/>
      <c r="D1598" s="6"/>
      <c r="E1598" s="6"/>
      <c r="F1598" s="6"/>
    </row>
    <row r="1599" spans="2:6" x14ac:dyDescent="0.25">
      <c r="B1599" s="6"/>
      <c r="C1599" s="6"/>
      <c r="D1599" s="6"/>
      <c r="E1599" s="6"/>
      <c r="F1599" s="6"/>
    </row>
    <row r="1600" spans="2:6" x14ac:dyDescent="0.25">
      <c r="B1600" s="6"/>
      <c r="C1600" s="6"/>
      <c r="D1600" s="6"/>
      <c r="E1600" s="6"/>
      <c r="F1600" s="6"/>
    </row>
    <row r="1601" spans="2:6" x14ac:dyDescent="0.25">
      <c r="B1601" s="6"/>
      <c r="C1601" s="6"/>
      <c r="D1601" s="6"/>
      <c r="E1601" s="6"/>
      <c r="F1601" s="6"/>
    </row>
    <row r="1602" spans="2:6" x14ac:dyDescent="0.25">
      <c r="B1602" s="6"/>
      <c r="C1602" s="6"/>
      <c r="D1602" s="6"/>
      <c r="E1602" s="6"/>
      <c r="F1602" s="6"/>
    </row>
    <row r="1603" spans="2:6" x14ac:dyDescent="0.25">
      <c r="B1603" s="6"/>
      <c r="C1603" s="6"/>
      <c r="D1603" s="6"/>
      <c r="E1603" s="6"/>
      <c r="F1603" s="6"/>
    </row>
    <row r="1604" spans="2:6" x14ac:dyDescent="0.25">
      <c r="B1604" s="6"/>
      <c r="C1604" s="6"/>
      <c r="D1604" s="6"/>
      <c r="E1604" s="6"/>
      <c r="F1604" s="6"/>
    </row>
    <row r="1605" spans="2:6" x14ac:dyDescent="0.25">
      <c r="B1605" s="6"/>
      <c r="C1605" s="6"/>
      <c r="D1605" s="6"/>
      <c r="E1605" s="6"/>
      <c r="F1605" s="6"/>
    </row>
    <row r="1606" spans="2:6" x14ac:dyDescent="0.25">
      <c r="B1606" s="6"/>
      <c r="C1606" s="6"/>
      <c r="D1606" s="6"/>
      <c r="E1606" s="6"/>
      <c r="F1606" s="6"/>
    </row>
    <row r="1607" spans="2:6" x14ac:dyDescent="0.25">
      <c r="B1607" s="6"/>
      <c r="C1607" s="6"/>
      <c r="D1607" s="6"/>
      <c r="E1607" s="6"/>
      <c r="F1607" s="6"/>
    </row>
    <row r="1608" spans="2:6" x14ac:dyDescent="0.25">
      <c r="B1608" s="6"/>
      <c r="C1608" s="6"/>
      <c r="D1608" s="6"/>
      <c r="E1608" s="6"/>
      <c r="F1608" s="6"/>
    </row>
    <row r="1609" spans="2:6" x14ac:dyDescent="0.25">
      <c r="B1609" s="6"/>
      <c r="C1609" s="6"/>
      <c r="D1609" s="6"/>
      <c r="E1609" s="6"/>
      <c r="F1609" s="6"/>
    </row>
    <row r="1610" spans="2:6" x14ac:dyDescent="0.25">
      <c r="B1610" s="6"/>
      <c r="C1610" s="6"/>
      <c r="D1610" s="6"/>
      <c r="E1610" s="6"/>
      <c r="F1610" s="6"/>
    </row>
    <row r="1611" spans="2:6" x14ac:dyDescent="0.25">
      <c r="B1611" s="6"/>
      <c r="C1611" s="6"/>
      <c r="D1611" s="6"/>
      <c r="E1611" s="6"/>
      <c r="F1611" s="6"/>
    </row>
    <row r="1612" spans="2:6" x14ac:dyDescent="0.25">
      <c r="B1612" s="6"/>
      <c r="C1612" s="6"/>
      <c r="D1612" s="6"/>
      <c r="E1612" s="6"/>
      <c r="F1612" s="6"/>
    </row>
    <row r="1613" spans="2:6" x14ac:dyDescent="0.25">
      <c r="B1613" s="6"/>
      <c r="C1613" s="6"/>
      <c r="D1613" s="6"/>
      <c r="E1613" s="6"/>
      <c r="F1613" s="6"/>
    </row>
    <row r="1614" spans="2:6" x14ac:dyDescent="0.25">
      <c r="B1614" s="6"/>
      <c r="C1614" s="6"/>
      <c r="D1614" s="6"/>
      <c r="E1614" s="6"/>
      <c r="F1614" s="6"/>
    </row>
    <row r="1615" spans="2:6" x14ac:dyDescent="0.25">
      <c r="B1615" s="6"/>
      <c r="C1615" s="6"/>
      <c r="D1615" s="6"/>
      <c r="E1615" s="6"/>
      <c r="F1615" s="6"/>
    </row>
    <row r="1616" spans="2:6" x14ac:dyDescent="0.25">
      <c r="B1616" s="6"/>
      <c r="C1616" s="6"/>
      <c r="D1616" s="6"/>
      <c r="E1616" s="6"/>
      <c r="F1616" s="6"/>
    </row>
    <row r="1617" spans="2:6" x14ac:dyDescent="0.25">
      <c r="B1617" s="6"/>
      <c r="C1617" s="6"/>
      <c r="D1617" s="6"/>
      <c r="E1617" s="6"/>
      <c r="F1617" s="6"/>
    </row>
    <row r="1618" spans="2:6" x14ac:dyDescent="0.25">
      <c r="B1618" s="6"/>
      <c r="C1618" s="6"/>
      <c r="D1618" s="6"/>
      <c r="E1618" s="6"/>
      <c r="F1618" s="6"/>
    </row>
    <row r="1619" spans="2:6" x14ac:dyDescent="0.25">
      <c r="B1619" s="6"/>
      <c r="C1619" s="6"/>
      <c r="D1619" s="6"/>
      <c r="E1619" s="6"/>
      <c r="F1619" s="6"/>
    </row>
    <row r="1620" spans="2:6" x14ac:dyDescent="0.25">
      <c r="B1620" s="6"/>
      <c r="C1620" s="6"/>
      <c r="D1620" s="6"/>
      <c r="E1620" s="6"/>
      <c r="F1620" s="6"/>
    </row>
    <row r="1621" spans="2:6" x14ac:dyDescent="0.25">
      <c r="B1621" s="6"/>
      <c r="C1621" s="6"/>
      <c r="D1621" s="6"/>
      <c r="E1621" s="6"/>
      <c r="F1621" s="6"/>
    </row>
    <row r="1622" spans="2:6" x14ac:dyDescent="0.25">
      <c r="B1622" s="6"/>
      <c r="C1622" s="6"/>
      <c r="D1622" s="6"/>
      <c r="E1622" s="6"/>
      <c r="F1622" s="6"/>
    </row>
    <row r="1623" spans="2:6" x14ac:dyDescent="0.25">
      <c r="B1623" s="6"/>
      <c r="C1623" s="6"/>
      <c r="D1623" s="6"/>
      <c r="E1623" s="6"/>
      <c r="F1623" s="6"/>
    </row>
    <row r="1624" spans="2:6" x14ac:dyDescent="0.25">
      <c r="B1624" s="6"/>
      <c r="C1624" s="6"/>
      <c r="D1624" s="6"/>
      <c r="E1624" s="6"/>
      <c r="F1624" s="6"/>
    </row>
    <row r="1625" spans="2:6" x14ac:dyDescent="0.25">
      <c r="B1625" s="6"/>
      <c r="C1625" s="6"/>
      <c r="D1625" s="6"/>
      <c r="E1625" s="6"/>
      <c r="F1625" s="6"/>
    </row>
    <row r="1626" spans="2:6" x14ac:dyDescent="0.25">
      <c r="B1626" s="6"/>
      <c r="C1626" s="6"/>
      <c r="D1626" s="6"/>
      <c r="E1626" s="6"/>
      <c r="F1626" s="6"/>
    </row>
    <row r="1627" spans="2:6" x14ac:dyDescent="0.25">
      <c r="B1627" s="6"/>
      <c r="C1627" s="6"/>
      <c r="D1627" s="6"/>
      <c r="E1627" s="6"/>
      <c r="F1627" s="6"/>
    </row>
    <row r="1628" spans="2:6" x14ac:dyDescent="0.25">
      <c r="B1628" s="6"/>
      <c r="C1628" s="6"/>
      <c r="D1628" s="6"/>
      <c r="E1628" s="6"/>
      <c r="F1628" s="6"/>
    </row>
    <row r="1629" spans="2:6" x14ac:dyDescent="0.25">
      <c r="B1629" s="6"/>
      <c r="C1629" s="6"/>
      <c r="D1629" s="6"/>
      <c r="E1629" s="6"/>
      <c r="F1629" s="6"/>
    </row>
    <row r="1630" spans="2:6" x14ac:dyDescent="0.25">
      <c r="B1630" s="6"/>
      <c r="C1630" s="6"/>
      <c r="D1630" s="6"/>
      <c r="E1630" s="6"/>
      <c r="F1630" s="6"/>
    </row>
    <row r="1631" spans="2:6" x14ac:dyDescent="0.25">
      <c r="B1631" s="6"/>
      <c r="C1631" s="6"/>
      <c r="D1631" s="6"/>
      <c r="E1631" s="6"/>
      <c r="F1631" s="6"/>
    </row>
    <row r="1632" spans="2:6" x14ac:dyDescent="0.25">
      <c r="B1632" s="6"/>
      <c r="C1632" s="6"/>
      <c r="D1632" s="6"/>
      <c r="E1632" s="6"/>
      <c r="F1632" s="6"/>
    </row>
    <row r="1633" spans="2:6" x14ac:dyDescent="0.25">
      <c r="B1633" s="6"/>
      <c r="C1633" s="6"/>
      <c r="D1633" s="6"/>
      <c r="E1633" s="6"/>
      <c r="F1633" s="6"/>
    </row>
    <row r="1634" spans="2:6" x14ac:dyDescent="0.25">
      <c r="B1634" s="6"/>
      <c r="C1634" s="6"/>
      <c r="D1634" s="6"/>
      <c r="E1634" s="6"/>
      <c r="F1634" s="6"/>
    </row>
    <row r="1635" spans="2:6" x14ac:dyDescent="0.25">
      <c r="B1635" s="6"/>
      <c r="C1635" s="6"/>
      <c r="D1635" s="6"/>
      <c r="E1635" s="6"/>
      <c r="F1635" s="6"/>
    </row>
    <row r="1636" spans="2:6" x14ac:dyDescent="0.25">
      <c r="B1636" s="6"/>
      <c r="C1636" s="6"/>
      <c r="D1636" s="6"/>
      <c r="E1636" s="6"/>
      <c r="F1636" s="6"/>
    </row>
    <row r="1637" spans="2:6" x14ac:dyDescent="0.25">
      <c r="B1637" s="6"/>
      <c r="C1637" s="6"/>
      <c r="D1637" s="6"/>
      <c r="E1637" s="6"/>
      <c r="F1637" s="6"/>
    </row>
    <row r="1638" spans="2:6" x14ac:dyDescent="0.25">
      <c r="B1638" s="6"/>
      <c r="C1638" s="6"/>
      <c r="D1638" s="6"/>
      <c r="E1638" s="6"/>
      <c r="F1638" s="6"/>
    </row>
    <row r="1639" spans="2:6" x14ac:dyDescent="0.25">
      <c r="B1639" s="6"/>
      <c r="C1639" s="6"/>
      <c r="D1639" s="6"/>
      <c r="E1639" s="6"/>
      <c r="F1639" s="6"/>
    </row>
    <row r="1640" spans="2:6" x14ac:dyDescent="0.25">
      <c r="B1640" s="6"/>
      <c r="C1640" s="6"/>
      <c r="D1640" s="6"/>
      <c r="E1640" s="6"/>
      <c r="F1640" s="6"/>
    </row>
    <row r="1641" spans="2:6" x14ac:dyDescent="0.25">
      <c r="B1641" s="6"/>
      <c r="C1641" s="6"/>
      <c r="D1641" s="6"/>
      <c r="E1641" s="6"/>
      <c r="F1641" s="6"/>
    </row>
    <row r="1642" spans="2:6" x14ac:dyDescent="0.25">
      <c r="B1642" s="6"/>
      <c r="C1642" s="6"/>
      <c r="D1642" s="6"/>
      <c r="E1642" s="6"/>
      <c r="F1642" s="6"/>
    </row>
    <row r="1643" spans="2:6" x14ac:dyDescent="0.25">
      <c r="B1643" s="6"/>
      <c r="C1643" s="6"/>
      <c r="D1643" s="6"/>
      <c r="E1643" s="6"/>
      <c r="F1643" s="6"/>
    </row>
    <row r="1644" spans="2:6" x14ac:dyDescent="0.25">
      <c r="B1644" s="6"/>
      <c r="C1644" s="6"/>
      <c r="D1644" s="6"/>
      <c r="E1644" s="6"/>
      <c r="F1644" s="6"/>
    </row>
    <row r="1645" spans="2:6" x14ac:dyDescent="0.25">
      <c r="B1645" s="6"/>
      <c r="C1645" s="6"/>
      <c r="D1645" s="6"/>
      <c r="E1645" s="6"/>
      <c r="F1645" s="6"/>
    </row>
    <row r="1646" spans="2:6" x14ac:dyDescent="0.25">
      <c r="B1646" s="6"/>
      <c r="C1646" s="6"/>
      <c r="D1646" s="6"/>
      <c r="E1646" s="6"/>
      <c r="F1646" s="6"/>
    </row>
    <row r="1647" spans="2:6" x14ac:dyDescent="0.25">
      <c r="B1647" s="6"/>
      <c r="C1647" s="6"/>
      <c r="D1647" s="6"/>
      <c r="E1647" s="6"/>
      <c r="F1647" s="6"/>
    </row>
    <row r="1648" spans="2:6" x14ac:dyDescent="0.25">
      <c r="B1648" s="6"/>
      <c r="C1648" s="6"/>
      <c r="D1648" s="6"/>
      <c r="E1648" s="6"/>
      <c r="F1648" s="6"/>
    </row>
    <row r="1649" spans="2:6" x14ac:dyDescent="0.25">
      <c r="B1649" s="6"/>
      <c r="C1649" s="6"/>
      <c r="D1649" s="6"/>
      <c r="E1649" s="6"/>
      <c r="F1649" s="6"/>
    </row>
    <row r="1650" spans="2:6" x14ac:dyDescent="0.25">
      <c r="B1650" s="6"/>
      <c r="C1650" s="6"/>
      <c r="D1650" s="6"/>
      <c r="E1650" s="6"/>
      <c r="F1650" s="6"/>
    </row>
    <row r="1651" spans="2:6" x14ac:dyDescent="0.25">
      <c r="B1651" s="6"/>
      <c r="C1651" s="6"/>
      <c r="D1651" s="6"/>
      <c r="E1651" s="6"/>
      <c r="F1651" s="6"/>
    </row>
    <row r="1652" spans="2:6" x14ac:dyDescent="0.25">
      <c r="B1652" s="6"/>
      <c r="C1652" s="6"/>
      <c r="D1652" s="6"/>
      <c r="E1652" s="6"/>
      <c r="F1652" s="6"/>
    </row>
    <row r="1653" spans="2:6" x14ac:dyDescent="0.25">
      <c r="B1653" s="6"/>
      <c r="C1653" s="6"/>
      <c r="D1653" s="6"/>
      <c r="E1653" s="6"/>
      <c r="F1653" s="6"/>
    </row>
    <row r="1654" spans="2:6" x14ac:dyDescent="0.25">
      <c r="B1654" s="6"/>
      <c r="C1654" s="6"/>
      <c r="D1654" s="6"/>
      <c r="E1654" s="6"/>
      <c r="F1654" s="6"/>
    </row>
    <row r="1655" spans="2:6" x14ac:dyDescent="0.25">
      <c r="B1655" s="6"/>
      <c r="C1655" s="6"/>
      <c r="D1655" s="6"/>
      <c r="E1655" s="6"/>
      <c r="F1655" s="6"/>
    </row>
    <row r="1656" spans="2:6" x14ac:dyDescent="0.25">
      <c r="B1656" s="6"/>
      <c r="C1656" s="6"/>
      <c r="D1656" s="6"/>
      <c r="E1656" s="6"/>
      <c r="F1656" s="6"/>
    </row>
    <row r="1657" spans="2:6" x14ac:dyDescent="0.25">
      <c r="B1657" s="6"/>
      <c r="C1657" s="6"/>
      <c r="D1657" s="6"/>
      <c r="E1657" s="6"/>
      <c r="F1657" s="6"/>
    </row>
    <row r="1658" spans="2:6" x14ac:dyDescent="0.25">
      <c r="B1658" s="6"/>
      <c r="C1658" s="6"/>
      <c r="D1658" s="6"/>
      <c r="E1658" s="6"/>
      <c r="F1658" s="6"/>
    </row>
    <row r="1659" spans="2:6" x14ac:dyDescent="0.25">
      <c r="B1659" s="6"/>
      <c r="C1659" s="6"/>
      <c r="D1659" s="6"/>
      <c r="E1659" s="6"/>
      <c r="F1659" s="6"/>
    </row>
    <row r="1660" spans="2:6" x14ac:dyDescent="0.25">
      <c r="B1660" s="6"/>
      <c r="C1660" s="6"/>
      <c r="D1660" s="6"/>
      <c r="E1660" s="6"/>
      <c r="F1660" s="6"/>
    </row>
  </sheetData>
  <phoneticPr fontId="0" type="noConversion"/>
  <dataValidations count="2">
    <dataValidation type="list" allowBlank="1" showInputMessage="1" showErrorMessage="1" sqref="O15" xr:uid="{00000000-0002-0000-0000-000000000000}">
      <formula1>"1E3,1E4,1E5,1E6,1E7,1E8,1E9"</formula1>
    </dataValidation>
    <dataValidation type="list" allowBlank="1" showInputMessage="1" showErrorMessage="1" sqref="P15" xr:uid="{00000000-0002-0000-0000-000001000000}">
      <formula1>"1E6,1E7,1E8,1E9,1E10,1E11,1E12"</formula1>
    </dataValidation>
  </dataValidations>
  <pageMargins left="0.75" right="0.75" top="1" bottom="1" header="0.5" footer="0.5"/>
  <pageSetup orientation="portrait" horizontalDpi="4294967295"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B22"/>
  <sheetViews>
    <sheetView showGridLines="0" showRowColHeaders="0" workbookViewId="0"/>
  </sheetViews>
  <sheetFormatPr defaultRowHeight="12.5" x14ac:dyDescent="0.25"/>
  <cols>
    <col min="1" max="1" width="3.7265625" customWidth="1"/>
    <col min="2" max="2" width="85.453125" customWidth="1"/>
  </cols>
  <sheetData>
    <row r="1" spans="2:2" x14ac:dyDescent="0.25">
      <c r="B1" s="1" t="s">
        <v>0</v>
      </c>
    </row>
    <row r="2" spans="2:2" x14ac:dyDescent="0.25">
      <c r="B2" s="17"/>
    </row>
    <row r="3" spans="2:2" ht="25" customHeight="1" x14ac:dyDescent="0.25">
      <c r="B3" s="2" t="s">
        <v>1</v>
      </c>
    </row>
    <row r="4" spans="2:2" ht="12.75" customHeight="1" x14ac:dyDescent="0.25">
      <c r="B4" s="3" t="s">
        <v>2</v>
      </c>
    </row>
    <row r="5" spans="2:2" ht="12.75" customHeight="1" x14ac:dyDescent="0.3">
      <c r="B5" s="3" t="s">
        <v>4</v>
      </c>
    </row>
    <row r="6" spans="2:2" ht="25.5" x14ac:dyDescent="0.25">
      <c r="B6" s="4" t="s">
        <v>16</v>
      </c>
    </row>
    <row r="7" spans="2:2" ht="25" x14ac:dyDescent="0.25">
      <c r="B7" s="3" t="s">
        <v>17</v>
      </c>
    </row>
    <row r="8" spans="2:2" ht="37.5" x14ac:dyDescent="0.25">
      <c r="B8" s="3" t="s">
        <v>18</v>
      </c>
    </row>
    <row r="9" spans="2:2" ht="25" x14ac:dyDescent="0.25">
      <c r="B9" s="3" t="s">
        <v>19</v>
      </c>
    </row>
    <row r="10" spans="2:2" x14ac:dyDescent="0.25">
      <c r="B10" s="3" t="s">
        <v>20</v>
      </c>
    </row>
    <row r="11" spans="2:2" ht="25" x14ac:dyDescent="0.25">
      <c r="B11" s="3" t="s">
        <v>21</v>
      </c>
    </row>
    <row r="12" spans="2:2" ht="37.5" x14ac:dyDescent="0.25">
      <c r="B12" s="3" t="s">
        <v>22</v>
      </c>
    </row>
    <row r="13" spans="2:2" x14ac:dyDescent="0.25">
      <c r="B13" s="3" t="s">
        <v>3</v>
      </c>
    </row>
    <row r="18" spans="2:2" x14ac:dyDescent="0.25">
      <c r="B18" s="5" t="s">
        <v>3</v>
      </c>
    </row>
    <row r="19" spans="2:2" x14ac:dyDescent="0.25">
      <c r="B19" s="3" t="s">
        <v>3</v>
      </c>
    </row>
    <row r="21" spans="2:2" ht="12.75" customHeight="1" x14ac:dyDescent="0.25">
      <c r="B21" s="3"/>
    </row>
    <row r="22" spans="2:2" ht="12.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
  <sheetViews>
    <sheetView showGridLines="0" showRowColHeaders="0" workbookViewId="0"/>
  </sheetViews>
  <sheetFormatPr defaultRowHeight="12.5" x14ac:dyDescent="0.25"/>
  <cols>
    <col min="2" max="2" width="100.7265625" customWidth="1"/>
  </cols>
  <sheetData>
    <row r="2" spans="2:2" ht="50" x14ac:dyDescent="0.25">
      <c r="B2" s="18" t="s">
        <v>23</v>
      </c>
    </row>
  </sheetData>
  <phoneticPr fontId="0"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Input-data</vt:lpstr>
      <vt:lpstr>Info</vt:lpstr>
      <vt:lpstr>Copyright</vt:lpstr>
      <vt:lpstr>C_left</vt:lpstr>
      <vt:lpstr>C_right</vt:lpstr>
      <vt:lpstr>F_max</vt:lpstr>
      <vt:lpstr>F_min</vt:lpstr>
      <vt:lpstr>F_steps</vt:lpstr>
      <vt:lpstr>Freq_anchor</vt:lpstr>
      <vt:lpstr>Input_range</vt:lpstr>
      <vt:lpstr>L_left</vt:lpstr>
      <vt:lpstr>L_right</vt:lpstr>
      <vt:lpstr>R_left</vt:lpstr>
      <vt:lpstr>R_load</vt:lpstr>
      <vt:lpstr>R_right</vt:lpstr>
      <vt:lpstr>R_src</vt:lpstr>
      <vt:lpstr>t_pd1</vt:lpstr>
      <vt:lpstr>Z_o1</vt:lpstr>
      <vt:lpstr>Z_ref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Istvan Novak</dc:creator>
  <cp:lastModifiedBy>istvan</cp:lastModifiedBy>
  <dcterms:created xsi:type="dcterms:W3CDTF">2008-09-06T17:02:37Z</dcterms:created>
  <dcterms:modified xsi:type="dcterms:W3CDTF">2019-11-25T01:18:35Z</dcterms:modified>
</cp:coreProperties>
</file>